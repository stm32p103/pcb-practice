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Spark\brd\gerber\"/>
    </mc:Choice>
  </mc:AlternateContent>
  <xr:revisionPtr revIDLastSave="0" documentId="13_ncr:1_{FCE6469E-5E3A-4C29-8A17-845CA9A1E4C4}" xr6:coauthVersionLast="45" xr6:coauthVersionMax="45" xr10:uidLastSave="{00000000-0000-0000-0000-000000000000}"/>
  <bookViews>
    <workbookView xWindow="28680" yWindow="-120" windowWidth="29040" windowHeight="16440" activeTab="1" xr2:uid="{00000000-000D-0000-FFFF-FFFF00000000}"/>
  </bookViews>
  <sheets>
    <sheet name="Sheet1" sheetId="2" r:id="rId1"/>
    <sheet name="Sheet2" sheetId="3" r:id="rId2"/>
  </sheets>
  <functionGroups builtInGroupCount="19"/>
  <definedNames>
    <definedName name="_xlnm._FilterDatabase" localSheetId="0" hidden="1">Sheet1!$A$1:$J$84</definedName>
    <definedName name="_xlnm._FilterDatabase" localSheetId="1" hidden="1">Sheet2!$A$1:$D$18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84" i="2" l="1"/>
  <c r="N84" i="2" s="1"/>
  <c r="O84" i="2" s="1"/>
  <c r="L84" i="2"/>
  <c r="M84" i="2"/>
  <c r="K85" i="2"/>
  <c r="L85" i="2"/>
  <c r="M85" i="2"/>
  <c r="K86" i="2"/>
  <c r="N86" i="2" s="1"/>
  <c r="P86" i="2" s="1"/>
  <c r="L86" i="2"/>
  <c r="M86" i="2"/>
  <c r="K87" i="2"/>
  <c r="N87" i="2" s="1"/>
  <c r="O87" i="2" s="1"/>
  <c r="L87" i="2"/>
  <c r="M87" i="2"/>
  <c r="K88" i="2"/>
  <c r="N88" i="2" s="1"/>
  <c r="O88" i="2" s="1"/>
  <c r="L88" i="2"/>
  <c r="M88" i="2"/>
  <c r="K89" i="2"/>
  <c r="N89" i="2" s="1"/>
  <c r="P89" i="2" s="1"/>
  <c r="L89" i="2"/>
  <c r="M89" i="2"/>
  <c r="K90" i="2"/>
  <c r="N90" i="2" s="1"/>
  <c r="O90" i="2" s="1"/>
  <c r="L90" i="2"/>
  <c r="M90" i="2"/>
  <c r="K91" i="2"/>
  <c r="N91" i="2" s="1"/>
  <c r="O91" i="2" s="1"/>
  <c r="L91" i="2"/>
  <c r="M91" i="2"/>
  <c r="K92" i="2"/>
  <c r="N92" i="2" s="1"/>
  <c r="O92" i="2" s="1"/>
  <c r="L92" i="2"/>
  <c r="M92" i="2"/>
  <c r="K93" i="2"/>
  <c r="N93" i="2" s="1"/>
  <c r="O93" i="2" s="1"/>
  <c r="L93" i="2"/>
  <c r="M93" i="2"/>
  <c r="K94" i="2"/>
  <c r="L94" i="2"/>
  <c r="M94" i="2"/>
  <c r="K95" i="2"/>
  <c r="N95" i="2" s="1"/>
  <c r="O95" i="2" s="1"/>
  <c r="L95" i="2"/>
  <c r="M95" i="2"/>
  <c r="K96" i="2"/>
  <c r="N96" i="2" s="1"/>
  <c r="O96" i="2" s="1"/>
  <c r="L96" i="2"/>
  <c r="M96" i="2"/>
  <c r="K97" i="2"/>
  <c r="N97" i="2" s="1"/>
  <c r="O97" i="2" s="1"/>
  <c r="L97" i="2"/>
  <c r="M97" i="2"/>
  <c r="K98" i="2"/>
  <c r="L98" i="2"/>
  <c r="M98" i="2"/>
  <c r="N85" i="2"/>
  <c r="N94" i="2"/>
  <c r="O94" i="2" l="1"/>
  <c r="N98" i="2"/>
  <c r="O98" i="2" s="1"/>
  <c r="O86" i="2"/>
  <c r="P97" i="2"/>
  <c r="P90" i="2"/>
  <c r="O89" i="2"/>
  <c r="P94" i="2"/>
  <c r="P93" i="2"/>
  <c r="P85" i="2"/>
  <c r="O85" i="2"/>
  <c r="P95" i="2"/>
  <c r="P87" i="2"/>
  <c r="P92" i="2"/>
  <c r="P84" i="2"/>
  <c r="P91" i="2"/>
  <c r="P96" i="2"/>
  <c r="P88" i="2"/>
  <c r="P98" i="2" l="1"/>
  <c r="K3" i="2"/>
  <c r="K4" i="2"/>
  <c r="K5" i="2"/>
  <c r="N5" i="2" s="1"/>
  <c r="K6" i="2"/>
  <c r="N6" i="2" s="1"/>
  <c r="K7" i="2"/>
  <c r="K8" i="2"/>
  <c r="K9" i="2"/>
  <c r="N9" i="2" s="1"/>
  <c r="K10" i="2"/>
  <c r="K11" i="2"/>
  <c r="K12" i="2"/>
  <c r="K13" i="2"/>
  <c r="K14" i="2"/>
  <c r="K15" i="2"/>
  <c r="K16" i="2"/>
  <c r="K17" i="2"/>
  <c r="K18" i="2"/>
  <c r="K19" i="2"/>
  <c r="N19" i="2" s="1"/>
  <c r="K20" i="2"/>
  <c r="N20" i="2" s="1"/>
  <c r="K21" i="2"/>
  <c r="N21" i="2" s="1"/>
  <c r="K22" i="2"/>
  <c r="N22" i="2" s="1"/>
  <c r="K23" i="2"/>
  <c r="N23" i="2" s="1"/>
  <c r="K24" i="2"/>
  <c r="K25" i="2"/>
  <c r="N25" i="2" s="1"/>
  <c r="K26" i="2"/>
  <c r="N26" i="2" s="1"/>
  <c r="K27" i="2"/>
  <c r="N27" i="2" s="1"/>
  <c r="K28" i="2"/>
  <c r="N28" i="2" s="1"/>
  <c r="K29" i="2"/>
  <c r="K30" i="2"/>
  <c r="K31" i="2"/>
  <c r="N31" i="2" s="1"/>
  <c r="K32" i="2"/>
  <c r="K33" i="2"/>
  <c r="K34" i="2"/>
  <c r="K35" i="2"/>
  <c r="K36" i="2"/>
  <c r="K37" i="2"/>
  <c r="K38" i="2"/>
  <c r="K39" i="2"/>
  <c r="N39" i="2" s="1"/>
  <c r="K40" i="2"/>
  <c r="K41" i="2"/>
  <c r="K42" i="2"/>
  <c r="K43" i="2"/>
  <c r="K44" i="2"/>
  <c r="N44" i="2" s="1"/>
  <c r="K45" i="2"/>
  <c r="K46" i="2"/>
  <c r="K47" i="2"/>
  <c r="K48" i="2"/>
  <c r="K49" i="2"/>
  <c r="K50" i="2"/>
  <c r="N50" i="2" s="1"/>
  <c r="K51" i="2"/>
  <c r="N51" i="2" s="1"/>
  <c r="K52" i="2"/>
  <c r="N52" i="2" s="1"/>
  <c r="K53" i="2"/>
  <c r="N53" i="2" s="1"/>
  <c r="K54" i="2"/>
  <c r="N54" i="2" s="1"/>
  <c r="K55" i="2"/>
  <c r="K56" i="2"/>
  <c r="N56" i="2" s="1"/>
  <c r="K57" i="2"/>
  <c r="N57" i="2" s="1"/>
  <c r="K58" i="2"/>
  <c r="N58" i="2" s="1"/>
  <c r="K59" i="2"/>
  <c r="K60" i="2"/>
  <c r="N60" i="2" s="1"/>
  <c r="K61" i="2"/>
  <c r="N61" i="2" s="1"/>
  <c r="K62" i="2"/>
  <c r="N62" i="2" s="1"/>
  <c r="K63" i="2"/>
  <c r="N63" i="2" s="1"/>
  <c r="K64" i="2"/>
  <c r="K65" i="2"/>
  <c r="K66" i="2"/>
  <c r="K67" i="2"/>
  <c r="K68" i="2"/>
  <c r="K69" i="2"/>
  <c r="K70" i="2"/>
  <c r="K71" i="2"/>
  <c r="K72" i="2"/>
  <c r="K73" i="2"/>
  <c r="K74" i="2"/>
  <c r="K75" i="2"/>
  <c r="N75" i="2" s="1"/>
  <c r="K76" i="2"/>
  <c r="K77" i="2"/>
  <c r="N77" i="2" s="1"/>
  <c r="K78" i="2"/>
  <c r="K79" i="2"/>
  <c r="N79" i="2" s="1"/>
  <c r="K80" i="2"/>
  <c r="K81" i="2"/>
  <c r="N81" i="2" s="1"/>
  <c r="K82" i="2"/>
  <c r="N82" i="2" s="1"/>
  <c r="K83" i="2"/>
  <c r="N83" i="2" s="1"/>
  <c r="K2" i="2"/>
  <c r="L6" i="2"/>
  <c r="M6" i="2"/>
  <c r="L7" i="2"/>
  <c r="M7" i="2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N64" i="2" s="1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M5" i="2"/>
  <c r="L5" i="2"/>
  <c r="M4" i="2"/>
  <c r="L4" i="2"/>
  <c r="M3" i="2"/>
  <c r="L3" i="2"/>
  <c r="M2" i="2"/>
  <c r="L2" i="2"/>
  <c r="N11" i="2"/>
  <c r="N59" i="2"/>
  <c r="N76" i="2"/>
  <c r="N69" i="2"/>
  <c r="N78" i="2"/>
  <c r="N55" i="2"/>
  <c r="N10" i="2"/>
  <c r="N17" i="2"/>
  <c r="N70" i="2"/>
  <c r="N7" i="2"/>
  <c r="N72" i="2"/>
  <c r="N80" i="2"/>
  <c r="N3" i="2"/>
  <c r="N74" i="2"/>
  <c r="N2" i="2"/>
  <c r="N29" i="2" l="1"/>
  <c r="O29" i="2" s="1"/>
  <c r="N36" i="2"/>
  <c r="N67" i="2"/>
  <c r="P67" i="2" s="1"/>
  <c r="N35" i="2"/>
  <c r="O35" i="2" s="1"/>
  <c r="O74" i="2"/>
  <c r="P74" i="2"/>
  <c r="O10" i="2"/>
  <c r="P10" i="2"/>
  <c r="O17" i="2"/>
  <c r="P17" i="2"/>
  <c r="O80" i="2"/>
  <c r="P80" i="2"/>
  <c r="O72" i="2"/>
  <c r="P72" i="2"/>
  <c r="O64" i="2"/>
  <c r="P64" i="2"/>
  <c r="O55" i="2"/>
  <c r="P55" i="2"/>
  <c r="P7" i="2"/>
  <c r="O7" i="2"/>
  <c r="O78" i="2"/>
  <c r="P78" i="2"/>
  <c r="P70" i="2"/>
  <c r="O70" i="2"/>
  <c r="P69" i="2"/>
  <c r="O69" i="2"/>
  <c r="O76" i="2"/>
  <c r="P76" i="2"/>
  <c r="O59" i="2"/>
  <c r="P59" i="2"/>
  <c r="O11" i="2"/>
  <c r="P11" i="2"/>
  <c r="O3" i="2"/>
  <c r="P3" i="2"/>
  <c r="O82" i="2"/>
  <c r="P82" i="2"/>
  <c r="O58" i="2"/>
  <c r="P58" i="2"/>
  <c r="O50" i="2"/>
  <c r="P50" i="2"/>
  <c r="N42" i="2"/>
  <c r="O26" i="2"/>
  <c r="P26" i="2"/>
  <c r="O81" i="2"/>
  <c r="P81" i="2"/>
  <c r="O57" i="2"/>
  <c r="P57" i="2"/>
  <c r="N41" i="2"/>
  <c r="N33" i="2"/>
  <c r="O25" i="2"/>
  <c r="P25" i="2"/>
  <c r="P9" i="2"/>
  <c r="O9" i="2"/>
  <c r="O56" i="2"/>
  <c r="P56" i="2"/>
  <c r="N48" i="2"/>
  <c r="N40" i="2"/>
  <c r="O79" i="2"/>
  <c r="P79" i="2"/>
  <c r="O63" i="2"/>
  <c r="P63" i="2"/>
  <c r="N47" i="2"/>
  <c r="O39" i="2"/>
  <c r="P39" i="2"/>
  <c r="O31" i="2"/>
  <c r="P31" i="2"/>
  <c r="O23" i="2"/>
  <c r="P23" i="2"/>
  <c r="O62" i="2"/>
  <c r="P62" i="2"/>
  <c r="P54" i="2"/>
  <c r="O54" i="2"/>
  <c r="N46" i="2"/>
  <c r="O22" i="2"/>
  <c r="P22" i="2"/>
  <c r="O6" i="2"/>
  <c r="P6" i="2"/>
  <c r="O77" i="2"/>
  <c r="P77" i="2"/>
  <c r="P61" i="2"/>
  <c r="O61" i="2"/>
  <c r="O53" i="2"/>
  <c r="P53" i="2"/>
  <c r="N45" i="2"/>
  <c r="O21" i="2"/>
  <c r="P21" i="2"/>
  <c r="P5" i="2"/>
  <c r="O5" i="2"/>
  <c r="O60" i="2"/>
  <c r="P60" i="2"/>
  <c r="O52" i="2"/>
  <c r="P52" i="2"/>
  <c r="O44" i="2"/>
  <c r="P44" i="2"/>
  <c r="O36" i="2"/>
  <c r="P36" i="2"/>
  <c r="O28" i="2"/>
  <c r="P28" i="2"/>
  <c r="O20" i="2"/>
  <c r="P20" i="2"/>
  <c r="O83" i="2"/>
  <c r="P83" i="2"/>
  <c r="O75" i="2"/>
  <c r="P75" i="2"/>
  <c r="O67" i="2"/>
  <c r="O51" i="2"/>
  <c r="P51" i="2"/>
  <c r="O27" i="2"/>
  <c r="P27" i="2"/>
  <c r="O19" i="2"/>
  <c r="P19" i="2"/>
  <c r="P2" i="2"/>
  <c r="O2" i="2"/>
  <c r="N18" i="2"/>
  <c r="N13" i="2"/>
  <c r="N32" i="2"/>
  <c r="N30" i="2"/>
  <c r="N38" i="2"/>
  <c r="N8" i="2"/>
  <c r="N71" i="2"/>
  <c r="N68" i="2"/>
  <c r="N15" i="2"/>
  <c r="N73" i="2"/>
  <c r="N66" i="2"/>
  <c r="N65" i="2"/>
  <c r="N49" i="2"/>
  <c r="N14" i="2"/>
  <c r="N34" i="2"/>
  <c r="N12" i="2"/>
  <c r="N37" i="2"/>
  <c r="N43" i="2"/>
  <c r="N4" i="2"/>
  <c r="N24" i="2"/>
  <c r="N16" i="2"/>
  <c r="O18" i="2" l="1"/>
  <c r="P18" i="2"/>
  <c r="P13" i="2"/>
  <c r="O13" i="2"/>
  <c r="P35" i="2"/>
  <c r="P29" i="2"/>
  <c r="O38" i="2"/>
  <c r="P38" i="2"/>
  <c r="P66" i="2"/>
  <c r="O66" i="2"/>
  <c r="O15" i="2"/>
  <c r="P15" i="2"/>
  <c r="O71" i="2"/>
  <c r="P71" i="2"/>
  <c r="O8" i="2"/>
  <c r="P8" i="2"/>
  <c r="O30" i="2"/>
  <c r="P30" i="2"/>
  <c r="O32" i="2"/>
  <c r="P32" i="2"/>
  <c r="O68" i="2"/>
  <c r="P68" i="2"/>
  <c r="O65" i="2"/>
  <c r="P65" i="2"/>
  <c r="O73" i="2"/>
  <c r="P73" i="2"/>
  <c r="O14" i="2"/>
  <c r="P14" i="2"/>
  <c r="O49" i="2"/>
  <c r="P49" i="2"/>
  <c r="O16" i="2"/>
  <c r="P16" i="2"/>
  <c r="O4" i="2"/>
  <c r="P4" i="2"/>
  <c r="P37" i="2"/>
  <c r="O37" i="2"/>
  <c r="O24" i="2"/>
  <c r="P24" i="2"/>
  <c r="O34" i="2"/>
  <c r="P34" i="2"/>
  <c r="O43" i="2"/>
  <c r="P43" i="2"/>
  <c r="O12" i="2"/>
  <c r="P12" i="2"/>
  <c r="O40" i="2"/>
  <c r="P40" i="2"/>
  <c r="P33" i="2"/>
  <c r="O33" i="2"/>
  <c r="O42" i="2"/>
  <c r="P42" i="2"/>
  <c r="O48" i="2"/>
  <c r="P48" i="2"/>
  <c r="O41" i="2"/>
  <c r="P41" i="2"/>
  <c r="O47" i="2"/>
  <c r="P47" i="2"/>
  <c r="O45" i="2"/>
  <c r="P45" i="2"/>
  <c r="O46" i="2"/>
  <c r="P46" i="2"/>
</calcChain>
</file>

<file path=xl/sharedStrings.xml><?xml version="1.0" encoding="utf-8"?>
<sst xmlns="http://schemas.openxmlformats.org/spreadsheetml/2006/main" count="436" uniqueCount="190">
  <si>
    <t>Designator</t>
    <phoneticPr fontId="18" type="noConversion"/>
  </si>
  <si>
    <t>Qty</t>
    <phoneticPr fontId="18" type="noConversion"/>
  </si>
  <si>
    <t>Link</t>
    <phoneticPr fontId="18" type="noConversion"/>
  </si>
  <si>
    <t>MPN/Seeed SKU</t>
    <phoneticPr fontId="18" type="noConversion"/>
  </si>
  <si>
    <t>Ref Name</t>
  </si>
  <si>
    <t>Qty</t>
  </si>
  <si>
    <t>Component</t>
  </si>
  <si>
    <t>Value</t>
  </si>
  <si>
    <t>Package</t>
  </si>
  <si>
    <t>Manufacturer</t>
  </si>
  <si>
    <t>MPN</t>
  </si>
  <si>
    <t>RS Part Number</t>
  </si>
  <si>
    <t>Other Part Number</t>
  </si>
  <si>
    <t>Description</t>
  </si>
  <si>
    <t>IC4</t>
  </si>
  <si>
    <t>IC6</t>
  </si>
  <si>
    <t>C19</t>
  </si>
  <si>
    <t>C</t>
  </si>
  <si>
    <t>GRM188R71H104KA93D</t>
  </si>
  <si>
    <t>C18</t>
  </si>
  <si>
    <t>C6</t>
  </si>
  <si>
    <t>C12</t>
  </si>
  <si>
    <t>C9</t>
  </si>
  <si>
    <t>C7</t>
  </si>
  <si>
    <t>C8</t>
  </si>
  <si>
    <t>C13</t>
  </si>
  <si>
    <t>C21</t>
  </si>
  <si>
    <t>C20</t>
  </si>
  <si>
    <t>C2</t>
  </si>
  <si>
    <t>C3</t>
  </si>
  <si>
    <t>C1</t>
  </si>
  <si>
    <t>C5</t>
  </si>
  <si>
    <t>C4</t>
  </si>
  <si>
    <t>C22</t>
  </si>
  <si>
    <t>J</t>
  </si>
  <si>
    <t>CN2</t>
  </si>
  <si>
    <t>DC Jack</t>
  </si>
  <si>
    <t>MJ-179PH</t>
  </si>
  <si>
    <t>RL1</t>
  </si>
  <si>
    <t>EP1-x</t>
  </si>
  <si>
    <t>THD</t>
  </si>
  <si>
    <t>Relay</t>
  </si>
  <si>
    <t>RL2</t>
  </si>
  <si>
    <t>IC1</t>
  </si>
  <si>
    <t>L78M05CDT-TR</t>
  </si>
  <si>
    <t>TO228P972X240-3N</t>
  </si>
  <si>
    <t>STMicroelectronics</t>
  </si>
  <si>
    <t>Standard Regulator 5V 0.5A L78M05CDT-TR, Linear Voltage Regulator, 0.5A 5 V, 3-Pin D-PAK</t>
  </si>
  <si>
    <t>IC10</t>
  </si>
  <si>
    <t>LMV324IYPT</t>
  </si>
  <si>
    <t>SOP65P640X120-14N</t>
  </si>
  <si>
    <t>Operational Amplifiers - Op Amps ANALOG</t>
  </si>
  <si>
    <t>IC11</t>
  </si>
  <si>
    <t>IC2</t>
  </si>
  <si>
    <t>MCP2551-I_SN</t>
  </si>
  <si>
    <t>SOIC127P600X175-8N</t>
  </si>
  <si>
    <t>SN65HVD1050DR</t>
  </si>
  <si>
    <t>High Speed CAN Transceiver,MCP2551-I/SN</t>
  </si>
  <si>
    <t>IC8</t>
  </si>
  <si>
    <t>MCP4728A0T-E_UN</t>
  </si>
  <si>
    <t>SOP50P490X110-10N</t>
  </si>
  <si>
    <t>Microchip</t>
  </si>
  <si>
    <t>MCP4728A0T-E/UN</t>
  </si>
  <si>
    <t>Digital to Analog Converters - DAC Quad, 12-bit NV DAC with I2C interface</t>
  </si>
  <si>
    <t>IC9</t>
  </si>
  <si>
    <t>Nexperia</t>
  </si>
  <si>
    <t>Z1</t>
  </si>
  <si>
    <t>PESD2CAN,215</t>
  </si>
  <si>
    <t>SOT95P230X110-3N</t>
  </si>
  <si>
    <t>NXP PESD2CAN,215 Dual Bi-Directional ESD Protection Diode, 230W peak, 3-Pin SOT23 (TO-236AB)</t>
  </si>
  <si>
    <t>R21</t>
  </si>
  <si>
    <t>R</t>
  </si>
  <si>
    <t>RK73H1JTTD4701F</t>
  </si>
  <si>
    <t>Resistor Chip</t>
  </si>
  <si>
    <t>R19</t>
  </si>
  <si>
    <t>ERJ-3EKF1002V</t>
  </si>
  <si>
    <t>R11</t>
  </si>
  <si>
    <t>R12</t>
  </si>
  <si>
    <t>RC1206JR-07120RL</t>
  </si>
  <si>
    <t>R6</t>
  </si>
  <si>
    <t>R5</t>
  </si>
  <si>
    <t>R4</t>
  </si>
  <si>
    <t>R3</t>
  </si>
  <si>
    <t>R2</t>
  </si>
  <si>
    <t>R1</t>
  </si>
  <si>
    <t>R20</t>
  </si>
  <si>
    <t>R18</t>
  </si>
  <si>
    <t>R13</t>
  </si>
  <si>
    <t>R22</t>
  </si>
  <si>
    <t>R23</t>
  </si>
  <si>
    <t>CN3</t>
  </si>
  <si>
    <t>STLINK</t>
  </si>
  <si>
    <t>CN</t>
  </si>
  <si>
    <t>IC5</t>
  </si>
  <si>
    <t>STM32F042F6P6</t>
  </si>
  <si>
    <t>SOP65P640X120-20N</t>
  </si>
  <si>
    <t>32-Bit MCU 32K Flash USB2.0 CAN TSSOP20 STMicroelectronics STM32F042F6P6, 32bit ARM Cortex M0 Microcontroller, 48MHz, 32 kB Flash, 20-Pin TSSOP</t>
  </si>
  <si>
    <t>TCA9535PWR</t>
  </si>
  <si>
    <t>TSSOP</t>
  </si>
  <si>
    <t>Remote 16-Bit I2C and SMBus, Low-Power I/O Expander With Interrupt Output and Config Registers</t>
  </si>
  <si>
    <t>IC12</t>
  </si>
  <si>
    <t>IC3</t>
  </si>
  <si>
    <t>TLV70233DBVR</t>
  </si>
  <si>
    <t>SOT95P280X145-5N</t>
  </si>
  <si>
    <t>Texas Instruments</t>
  </si>
  <si>
    <t>300mA Low-Iq Low-Dropout (LDO) Regulator for Portables</t>
  </si>
  <si>
    <t>ULN2803ADWRG4</t>
  </si>
  <si>
    <t>SOIC127P1030X265-18N</t>
  </si>
  <si>
    <t>Darlington Transistors TRANSISTOR ARRAYS</t>
  </si>
  <si>
    <t>CN1</t>
  </si>
  <si>
    <t>VN1610</t>
  </si>
  <si>
    <t>Vector VN1610 CAN 2ch</t>
  </si>
  <si>
    <t>J1</t>
  </si>
  <si>
    <t>J2</t>
  </si>
  <si>
    <t>row</t>
    <phoneticPr fontId="20"/>
  </si>
  <si>
    <t>count</t>
    <phoneticPr fontId="20"/>
  </si>
  <si>
    <t>Designator</t>
  </si>
  <si>
    <t>MPN/Seeed SKU</t>
  </si>
  <si>
    <t>Link</t>
  </si>
  <si>
    <t>R19,R21</t>
  </si>
  <si>
    <t>CN5</t>
  </si>
  <si>
    <t>1318384-2</t>
  </si>
  <si>
    <t>C23</t>
  </si>
  <si>
    <t>IN0</t>
  </si>
  <si>
    <t>CONN_SIL_1</t>
  </si>
  <si>
    <t>DSC</t>
  </si>
  <si>
    <t>IN1</t>
  </si>
  <si>
    <t>IN2</t>
  </si>
  <si>
    <t>IN3</t>
  </si>
  <si>
    <t>IN4</t>
  </si>
  <si>
    <t>IN5</t>
  </si>
  <si>
    <t>IN6</t>
  </si>
  <si>
    <t>IN7</t>
  </si>
  <si>
    <t>CTRL0</t>
  </si>
  <si>
    <t>CTRL1</t>
  </si>
  <si>
    <t>OUT0</t>
  </si>
  <si>
    <t>OUT1</t>
  </si>
  <si>
    <t>OUT2</t>
  </si>
  <si>
    <t>OUT3</t>
  </si>
  <si>
    <t>OUT4</t>
  </si>
  <si>
    <t>OUT5</t>
  </si>
  <si>
    <t>OUT6</t>
  </si>
  <si>
    <t>OUT7</t>
  </si>
  <si>
    <t>P0</t>
  </si>
  <si>
    <t>P0in</t>
  </si>
  <si>
    <t>P1</t>
  </si>
  <si>
    <t>P1in</t>
  </si>
  <si>
    <t>OUT8</t>
  </si>
  <si>
    <t>IN8</t>
  </si>
  <si>
    <t>DA0</t>
  </si>
  <si>
    <t>DA1</t>
  </si>
  <si>
    <t>DA2</t>
  </si>
  <si>
    <t>Vin</t>
  </si>
  <si>
    <t>Vout</t>
  </si>
  <si>
    <t>CONN_SIL_4</t>
  </si>
  <si>
    <t>CN4</t>
  </si>
  <si>
    <t>RL9</t>
  </si>
  <si>
    <t>Q1</t>
  </si>
  <si>
    <t>QS6K1TR</t>
  </si>
  <si>
    <t>SOT23-6</t>
  </si>
  <si>
    <t>R24</t>
  </si>
  <si>
    <t>1206W4J0101T5E</t>
  </si>
  <si>
    <t>ERJ-3EKF2000V</t>
  </si>
  <si>
    <t>R25</t>
  </si>
  <si>
    <t>T2</t>
  </si>
  <si>
    <t>T3</t>
  </si>
  <si>
    <t>Y14H-1C-12DS</t>
  </si>
  <si>
    <t>1C Relay</t>
  </si>
  <si>
    <t>RL4</t>
  </si>
  <si>
    <t>RL3</t>
  </si>
  <si>
    <t>RL5</t>
  </si>
  <si>
    <t>RL6</t>
  </si>
  <si>
    <t>RL7</t>
  </si>
  <si>
    <t>RL8</t>
  </si>
  <si>
    <t>RL12</t>
  </si>
  <si>
    <t>RL11</t>
  </si>
  <si>
    <t>RL13</t>
  </si>
  <si>
    <t>IC10,IC11,IC6</t>
  </si>
  <si>
    <t>R1,R2</t>
  </si>
  <si>
    <t>R5,R6</t>
  </si>
  <si>
    <t>T2,T3</t>
  </si>
  <si>
    <t>C1,C2,C3,C4,C5,C7,C8,C9</t>
  </si>
  <si>
    <t>C12,C13,C18,C19,C20,C21,C22,C23,C6</t>
  </si>
  <si>
    <t>IC12,IC8,IC9</t>
  </si>
  <si>
    <t>ERJ-3EKF1002V</t>
    <phoneticPr fontId="20"/>
  </si>
  <si>
    <t>GRM188R71H104KA93D</t>
    <phoneticPr fontId="20"/>
  </si>
  <si>
    <t>GCM188R71E105KA64D</t>
  </si>
  <si>
    <t>R11,R13,R18,R20,R22,R23,R24,R25,R3,R4</t>
  </si>
  <si>
    <t>QS6K1TR</t>
    <phoneticPr fontId="20"/>
  </si>
  <si>
    <t>STM32F042F4P6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</si>
</sst>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游ゴシック"/>
      <family val="2"/>
      <charset val="134"/>
      <scheme val="minor"/>
    </font>
    <font>
      <sz val="12"/>
      <color theme="1"/>
      <name val="游ゴシック"/>
      <family val="2"/>
      <charset val="134"/>
      <scheme val="minor"/>
    </font>
    <font>
      <sz val="18"/>
      <color theme="3"/>
      <name val="游ゴシック Light"/>
      <family val="2"/>
      <charset val="134"/>
      <scheme val="major"/>
    </font>
    <font>
      <b/>
      <sz val="15"/>
      <color theme="3"/>
      <name val="游ゴシック"/>
      <family val="2"/>
      <charset val="134"/>
      <scheme val="minor"/>
    </font>
    <font>
      <b/>
      <sz val="13"/>
      <color theme="3"/>
      <name val="游ゴシック"/>
      <family val="2"/>
      <charset val="134"/>
      <scheme val="minor"/>
    </font>
    <font>
      <b/>
      <sz val="11"/>
      <color theme="3"/>
      <name val="游ゴシック"/>
      <family val="2"/>
      <charset val="134"/>
      <scheme val="minor"/>
    </font>
    <font>
      <sz val="12"/>
      <color rgb="FF006100"/>
      <name val="游ゴシック"/>
      <family val="2"/>
      <charset val="134"/>
      <scheme val="minor"/>
    </font>
    <font>
      <sz val="12"/>
      <color rgb="FF9C0006"/>
      <name val="游ゴシック"/>
      <family val="2"/>
      <charset val="134"/>
      <scheme val="minor"/>
    </font>
    <font>
      <sz val="12"/>
      <color rgb="FF9C5700"/>
      <name val="游ゴシック"/>
      <family val="2"/>
      <charset val="134"/>
      <scheme val="minor"/>
    </font>
    <font>
      <sz val="12"/>
      <color rgb="FF3F3F76"/>
      <name val="游ゴシック"/>
      <family val="2"/>
      <charset val="134"/>
      <scheme val="minor"/>
    </font>
    <font>
      <b/>
      <sz val="12"/>
      <color rgb="FF3F3F3F"/>
      <name val="游ゴシック"/>
      <family val="2"/>
      <charset val="134"/>
      <scheme val="minor"/>
    </font>
    <font>
      <b/>
      <sz val="12"/>
      <color rgb="FFFA7D00"/>
      <name val="游ゴシック"/>
      <family val="2"/>
      <charset val="134"/>
      <scheme val="minor"/>
    </font>
    <font>
      <sz val="12"/>
      <color rgb="FFFA7D00"/>
      <name val="游ゴシック"/>
      <family val="2"/>
      <charset val="134"/>
      <scheme val="minor"/>
    </font>
    <font>
      <b/>
      <sz val="12"/>
      <color theme="0"/>
      <name val="游ゴシック"/>
      <family val="2"/>
      <charset val="134"/>
      <scheme val="minor"/>
    </font>
    <font>
      <sz val="12"/>
      <color rgb="FFFF0000"/>
      <name val="游ゴシック"/>
      <family val="2"/>
      <charset val="134"/>
      <scheme val="minor"/>
    </font>
    <font>
      <i/>
      <sz val="12"/>
      <color rgb="FF7F7F7F"/>
      <name val="游ゴシック"/>
      <family val="2"/>
      <charset val="134"/>
      <scheme val="minor"/>
    </font>
    <font>
      <b/>
      <sz val="12"/>
      <color theme="1"/>
      <name val="游ゴシック"/>
      <family val="2"/>
      <charset val="134"/>
      <scheme val="minor"/>
    </font>
    <font>
      <sz val="12"/>
      <color theme="0"/>
      <name val="游ゴシック"/>
      <family val="2"/>
      <charset val="134"/>
      <scheme val="minor"/>
    </font>
    <font>
      <sz val="9"/>
      <name val="游ゴシック"/>
      <family val="2"/>
      <charset val="134"/>
      <scheme val="minor"/>
    </font>
    <font>
      <sz val="13"/>
      <color rgb="FF3C3C3C"/>
      <name val="Helvetica"/>
      <family val="2"/>
    </font>
    <font>
      <sz val="6"/>
      <name val="游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9" fillId="33" borderId="0" xfId="0" applyFont="1" applyFill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98"/>
  <sheetViews>
    <sheetView topLeftCell="A25" zoomScale="70" zoomScaleNormal="70" workbookViewId="0">
      <selection activeCell="N2" sqref="N2:P49"/>
    </sheetView>
  </sheetViews>
  <sheetFormatPr defaultRowHeight="19.5" x14ac:dyDescent="0.4"/>
  <cols>
    <col min="1" max="1" width="25.88671875" customWidth="1"/>
    <col min="7" max="7" width="24.21875" bestFit="1" customWidth="1"/>
    <col min="10" max="10" width="15.5546875" customWidth="1"/>
    <col min="14" max="14" width="66.88671875" bestFit="1" customWidth="1"/>
    <col min="15" max="15" width="24.21875" bestFit="1" customWidth="1"/>
  </cols>
  <sheetData>
    <row r="1" spans="1:1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L1" t="s">
        <v>114</v>
      </c>
      <c r="M1" t="s">
        <v>115</v>
      </c>
      <c r="N1" s="1" t="s">
        <v>0</v>
      </c>
      <c r="O1" s="1" t="s">
        <v>3</v>
      </c>
      <c r="P1" s="1" t="s">
        <v>1</v>
      </c>
      <c r="Q1" s="1" t="s">
        <v>2</v>
      </c>
    </row>
    <row r="2" spans="1:17" x14ac:dyDescent="0.4">
      <c r="A2" t="s">
        <v>84</v>
      </c>
      <c r="B2">
        <v>1</v>
      </c>
      <c r="C2" t="s">
        <v>71</v>
      </c>
      <c r="E2">
        <v>3216</v>
      </c>
      <c r="G2" t="s">
        <v>161</v>
      </c>
      <c r="J2" t="s">
        <v>73</v>
      </c>
      <c r="K2" t="b">
        <f>AND(G2&lt;&gt;"",G2&lt;&gt;G1)</f>
        <v>1</v>
      </c>
      <c r="L2">
        <f>ROW(G2)</f>
        <v>2</v>
      </c>
      <c r="M2">
        <f>COUNTIF(G:G,G2)</f>
        <v>2</v>
      </c>
      <c r="N2" t="str">
        <f ca="1">IF(K2,IF(M2=1,A2,joincells(OFFSET(A:A,L2-1,0,M2,1))),"")</f>
        <v>R1,R2</v>
      </c>
      <c r="O2" t="str">
        <f ca="1">IF(N2&lt;&gt;"",G2,"")</f>
        <v>1206W4J0101T5E</v>
      </c>
      <c r="P2">
        <f ca="1">IF(N2&lt;&gt;"",M2,"")</f>
        <v>2</v>
      </c>
    </row>
    <row r="3" spans="1:17" x14ac:dyDescent="0.4">
      <c r="A3" t="s">
        <v>83</v>
      </c>
      <c r="B3">
        <v>1</v>
      </c>
      <c r="C3" t="s">
        <v>71</v>
      </c>
      <c r="E3">
        <v>3216</v>
      </c>
      <c r="G3" t="s">
        <v>161</v>
      </c>
      <c r="J3" t="s">
        <v>73</v>
      </c>
      <c r="K3" t="b">
        <f t="shared" ref="K3:K66" si="0">AND(G3&lt;&gt;"",G3&lt;&gt;G2)</f>
        <v>0</v>
      </c>
      <c r="L3">
        <f>ROW(G3)</f>
        <v>3</v>
      </c>
      <c r="M3">
        <f>COUNTIF(G:G,G3)</f>
        <v>2</v>
      </c>
      <c r="N3" t="str">
        <f ca="1">IF(K3,IF(M3=1,A3,joincells(OFFSET(A:A,L3-1,0,M3,1))),"")</f>
        <v/>
      </c>
      <c r="O3" t="str">
        <f t="shared" ref="O3:O66" ca="1" si="1">IF(N3&lt;&gt;"",G3,"")</f>
        <v/>
      </c>
      <c r="P3" t="str">
        <f t="shared" ref="P3:P66" ca="1" si="2">IF(N3&lt;&gt;"",M3,"")</f>
        <v/>
      </c>
    </row>
    <row r="4" spans="1:17" x14ac:dyDescent="0.4">
      <c r="A4" t="s">
        <v>76</v>
      </c>
      <c r="B4">
        <v>1</v>
      </c>
      <c r="C4" t="s">
        <v>71</v>
      </c>
      <c r="E4">
        <v>1608</v>
      </c>
      <c r="G4" t="s">
        <v>75</v>
      </c>
      <c r="J4" t="s">
        <v>73</v>
      </c>
      <c r="K4" t="b">
        <f t="shared" si="0"/>
        <v>1</v>
      </c>
      <c r="L4">
        <f>ROW(G4)</f>
        <v>4</v>
      </c>
      <c r="M4">
        <f>COUNTIF(G:G,G4)</f>
        <v>10</v>
      </c>
      <c r="N4" t="str">
        <f ca="1">IF(K4,IF(M4=1,A4,joincells(OFFSET(A:A,L4-1,0,M4,1))),"")</f>
        <v>R11,R13,R18,R20,R22,R23,R24,R25,R3,R4</v>
      </c>
      <c r="O4" t="str">
        <f t="shared" ca="1" si="1"/>
        <v>ERJ-3EKF1002V</v>
      </c>
      <c r="P4">
        <f t="shared" ca="1" si="2"/>
        <v>10</v>
      </c>
    </row>
    <row r="5" spans="1:17" x14ac:dyDescent="0.4">
      <c r="A5" t="s">
        <v>87</v>
      </c>
      <c r="B5">
        <v>1</v>
      </c>
      <c r="C5" t="s">
        <v>71</v>
      </c>
      <c r="E5">
        <v>1608</v>
      </c>
      <c r="G5" t="s">
        <v>75</v>
      </c>
      <c r="J5" t="s">
        <v>73</v>
      </c>
      <c r="K5" t="b">
        <f t="shared" si="0"/>
        <v>0</v>
      </c>
      <c r="L5">
        <f>ROW(G5)</f>
        <v>5</v>
      </c>
      <c r="M5">
        <f>COUNTIF(G:G,G5)</f>
        <v>10</v>
      </c>
      <c r="N5" t="str">
        <f ca="1">IF(K5,IF(M5=1,A5,joincells(OFFSET(A:A,L5-1,0,M5,1))),"")</f>
        <v/>
      </c>
      <c r="O5" t="str">
        <f t="shared" ca="1" si="1"/>
        <v/>
      </c>
      <c r="P5" t="str">
        <f t="shared" ca="1" si="2"/>
        <v/>
      </c>
    </row>
    <row r="6" spans="1:17" x14ac:dyDescent="0.4">
      <c r="A6" t="s">
        <v>86</v>
      </c>
      <c r="B6">
        <v>1</v>
      </c>
      <c r="C6" t="s">
        <v>71</v>
      </c>
      <c r="E6">
        <v>1608</v>
      </c>
      <c r="G6" t="s">
        <v>75</v>
      </c>
      <c r="J6" t="s">
        <v>73</v>
      </c>
      <c r="K6" t="b">
        <f t="shared" si="0"/>
        <v>0</v>
      </c>
      <c r="L6">
        <f t="shared" ref="L6:L69" si="3">ROW(G6)</f>
        <v>6</v>
      </c>
      <c r="M6">
        <f t="shared" ref="M6:M69" si="4">COUNTIF(G:G,G6)</f>
        <v>10</v>
      </c>
      <c r="N6" t="str">
        <f ca="1">IF(K6,IF(M6=1,A6,joincells(OFFSET(A:A,L6-1,0,M6,1))),"")</f>
        <v/>
      </c>
      <c r="O6" t="str">
        <f t="shared" ca="1" si="1"/>
        <v/>
      </c>
      <c r="P6" t="str">
        <f t="shared" ca="1" si="2"/>
        <v/>
      </c>
    </row>
    <row r="7" spans="1:17" x14ac:dyDescent="0.4">
      <c r="A7" t="s">
        <v>85</v>
      </c>
      <c r="B7">
        <v>1</v>
      </c>
      <c r="C7" t="s">
        <v>71</v>
      </c>
      <c r="E7">
        <v>1608</v>
      </c>
      <c r="G7" t="s">
        <v>75</v>
      </c>
      <c r="J7" t="s">
        <v>73</v>
      </c>
      <c r="K7" t="b">
        <f t="shared" si="0"/>
        <v>0</v>
      </c>
      <c r="L7">
        <f t="shared" si="3"/>
        <v>7</v>
      </c>
      <c r="M7">
        <f t="shared" si="4"/>
        <v>10</v>
      </c>
      <c r="N7" t="str">
        <f ca="1">IF(K7,IF(M7=1,A7,joincells(OFFSET(A:A,L7-1,0,M7,1))),"")</f>
        <v/>
      </c>
      <c r="O7" t="str">
        <f t="shared" ca="1" si="1"/>
        <v/>
      </c>
      <c r="P7" t="str">
        <f t="shared" ca="1" si="2"/>
        <v/>
      </c>
    </row>
    <row r="8" spans="1:17" x14ac:dyDescent="0.4">
      <c r="A8" t="s">
        <v>88</v>
      </c>
      <c r="B8">
        <v>1</v>
      </c>
      <c r="C8" t="s">
        <v>71</v>
      </c>
      <c r="E8">
        <v>1608</v>
      </c>
      <c r="G8" t="s">
        <v>75</v>
      </c>
      <c r="J8" t="s">
        <v>73</v>
      </c>
      <c r="K8" t="b">
        <f t="shared" si="0"/>
        <v>0</v>
      </c>
      <c r="L8">
        <f t="shared" si="3"/>
        <v>8</v>
      </c>
      <c r="M8">
        <f t="shared" si="4"/>
        <v>10</v>
      </c>
      <c r="N8" t="str">
        <f ca="1">IF(K8,IF(M8=1,A8,joincells(OFFSET(A:A,L8-1,0,M8,1))),"")</f>
        <v/>
      </c>
      <c r="O8" t="str">
        <f t="shared" ca="1" si="1"/>
        <v/>
      </c>
      <c r="P8" t="str">
        <f t="shared" ca="1" si="2"/>
        <v/>
      </c>
    </row>
    <row r="9" spans="1:17" x14ac:dyDescent="0.4">
      <c r="A9" t="s">
        <v>89</v>
      </c>
      <c r="B9">
        <v>1</v>
      </c>
      <c r="C9" t="s">
        <v>71</v>
      </c>
      <c r="E9">
        <v>1608</v>
      </c>
      <c r="G9" t="s">
        <v>75</v>
      </c>
      <c r="J9" t="s">
        <v>73</v>
      </c>
      <c r="K9" t="b">
        <f t="shared" si="0"/>
        <v>0</v>
      </c>
      <c r="L9">
        <f t="shared" si="3"/>
        <v>9</v>
      </c>
      <c r="M9">
        <f t="shared" si="4"/>
        <v>10</v>
      </c>
      <c r="N9" t="str">
        <f ca="1">IF(K9,IF(M9=1,A9,joincells(OFFSET(A:A,L9-1,0,M9,1))),"")</f>
        <v/>
      </c>
      <c r="O9" t="str">
        <f t="shared" ca="1" si="1"/>
        <v/>
      </c>
      <c r="P9" t="str">
        <f t="shared" ca="1" si="2"/>
        <v/>
      </c>
    </row>
    <row r="10" spans="1:17" x14ac:dyDescent="0.4">
      <c r="A10" t="s">
        <v>160</v>
      </c>
      <c r="B10">
        <v>1</v>
      </c>
      <c r="C10" t="s">
        <v>71</v>
      </c>
      <c r="E10">
        <v>1608</v>
      </c>
      <c r="G10" t="s">
        <v>75</v>
      </c>
      <c r="J10" t="s">
        <v>73</v>
      </c>
      <c r="K10" t="b">
        <f t="shared" si="0"/>
        <v>0</v>
      </c>
      <c r="L10">
        <f t="shared" si="3"/>
        <v>10</v>
      </c>
      <c r="M10">
        <f t="shared" si="4"/>
        <v>10</v>
      </c>
      <c r="N10" t="str">
        <f ca="1">IF(K10,IF(M10=1,A10,joincells(OFFSET(A:A,L10-1,0,M10,1))),"")</f>
        <v/>
      </c>
      <c r="O10" t="str">
        <f t="shared" ca="1" si="1"/>
        <v/>
      </c>
      <c r="P10" t="str">
        <f t="shared" ca="1" si="2"/>
        <v/>
      </c>
    </row>
    <row r="11" spans="1:17" x14ac:dyDescent="0.4">
      <c r="A11" t="s">
        <v>163</v>
      </c>
      <c r="B11">
        <v>1</v>
      </c>
      <c r="C11" t="s">
        <v>71</v>
      </c>
      <c r="E11">
        <v>1608</v>
      </c>
      <c r="G11" t="s">
        <v>75</v>
      </c>
      <c r="J11" t="s">
        <v>73</v>
      </c>
      <c r="K11" t="b">
        <f t="shared" si="0"/>
        <v>0</v>
      </c>
      <c r="L11">
        <f t="shared" si="3"/>
        <v>11</v>
      </c>
      <c r="M11">
        <f t="shared" si="4"/>
        <v>10</v>
      </c>
      <c r="N11" t="str">
        <f ca="1">IF(K11,IF(M11=1,A11,joincells(OFFSET(A:A,L11-1,0,M11,1))),"")</f>
        <v/>
      </c>
      <c r="O11" t="str">
        <f t="shared" ca="1" si="1"/>
        <v/>
      </c>
      <c r="P11" t="str">
        <f t="shared" ca="1" si="2"/>
        <v/>
      </c>
    </row>
    <row r="12" spans="1:17" x14ac:dyDescent="0.4">
      <c r="A12" t="s">
        <v>82</v>
      </c>
      <c r="B12">
        <v>1</v>
      </c>
      <c r="C12" t="s">
        <v>71</v>
      </c>
      <c r="E12">
        <v>1608</v>
      </c>
      <c r="G12" t="s">
        <v>184</v>
      </c>
      <c r="J12" t="s">
        <v>73</v>
      </c>
      <c r="K12" t="b">
        <f t="shared" si="0"/>
        <v>0</v>
      </c>
      <c r="L12">
        <f t="shared" si="3"/>
        <v>12</v>
      </c>
      <c r="M12">
        <f t="shared" si="4"/>
        <v>10</v>
      </c>
      <c r="N12" t="str">
        <f ca="1">IF(K12,IF(M12=1,A12,joincells(OFFSET(A:A,L12-1,0,M12,1))),"")</f>
        <v/>
      </c>
      <c r="O12" t="str">
        <f t="shared" ca="1" si="1"/>
        <v/>
      </c>
      <c r="P12" t="str">
        <f t="shared" ca="1" si="2"/>
        <v/>
      </c>
    </row>
    <row r="13" spans="1:17" x14ac:dyDescent="0.4">
      <c r="A13" t="s">
        <v>81</v>
      </c>
      <c r="B13">
        <v>1</v>
      </c>
      <c r="C13" t="s">
        <v>71</v>
      </c>
      <c r="E13">
        <v>1608</v>
      </c>
      <c r="G13" t="s">
        <v>184</v>
      </c>
      <c r="J13" t="s">
        <v>73</v>
      </c>
      <c r="K13" t="b">
        <f t="shared" si="0"/>
        <v>0</v>
      </c>
      <c r="L13">
        <f t="shared" si="3"/>
        <v>13</v>
      </c>
      <c r="M13">
        <f t="shared" si="4"/>
        <v>10</v>
      </c>
      <c r="N13" t="str">
        <f ca="1">IF(K13,IF(M13=1,A13,joincells(OFFSET(A:A,L13-1,0,M13,1))),"")</f>
        <v/>
      </c>
      <c r="O13" t="str">
        <f t="shared" ca="1" si="1"/>
        <v/>
      </c>
      <c r="P13" t="str">
        <f t="shared" ca="1" si="2"/>
        <v/>
      </c>
    </row>
    <row r="14" spans="1:17" x14ac:dyDescent="0.4">
      <c r="A14" t="s">
        <v>80</v>
      </c>
      <c r="B14">
        <v>1</v>
      </c>
      <c r="C14" t="s">
        <v>71</v>
      </c>
      <c r="E14">
        <v>1608</v>
      </c>
      <c r="G14" t="s">
        <v>162</v>
      </c>
      <c r="J14" t="s">
        <v>73</v>
      </c>
      <c r="K14" t="b">
        <f t="shared" si="0"/>
        <v>1</v>
      </c>
      <c r="L14">
        <f t="shared" si="3"/>
        <v>14</v>
      </c>
      <c r="M14">
        <f t="shared" si="4"/>
        <v>2</v>
      </c>
      <c r="N14" t="str">
        <f ca="1">IF(K14,IF(M14=1,A14,joincells(OFFSET(A:A,L14-1,0,M14,1))),"")</f>
        <v>R5,R6</v>
      </c>
      <c r="O14" t="str">
        <f t="shared" ca="1" si="1"/>
        <v>ERJ-3EKF2000V</v>
      </c>
      <c r="P14">
        <f t="shared" ca="1" si="2"/>
        <v>2</v>
      </c>
    </row>
    <row r="15" spans="1:17" x14ac:dyDescent="0.4">
      <c r="A15" t="s">
        <v>79</v>
      </c>
      <c r="B15">
        <v>1</v>
      </c>
      <c r="C15" t="s">
        <v>71</v>
      </c>
      <c r="E15">
        <v>1608</v>
      </c>
      <c r="G15" t="s">
        <v>162</v>
      </c>
      <c r="J15" t="s">
        <v>73</v>
      </c>
      <c r="K15" t="b">
        <f t="shared" si="0"/>
        <v>0</v>
      </c>
      <c r="L15">
        <f t="shared" si="3"/>
        <v>15</v>
      </c>
      <c r="M15">
        <f t="shared" si="4"/>
        <v>2</v>
      </c>
      <c r="N15" t="str">
        <f ca="1">IF(K15,IF(M15=1,A15,joincells(OFFSET(A:A,L15-1,0,M15,1))),"")</f>
        <v/>
      </c>
      <c r="O15" t="str">
        <f t="shared" ca="1" si="1"/>
        <v/>
      </c>
      <c r="P15" t="str">
        <f t="shared" ca="1" si="2"/>
        <v/>
      </c>
    </row>
    <row r="16" spans="1:17" x14ac:dyDescent="0.4">
      <c r="A16" t="s">
        <v>30</v>
      </c>
      <c r="B16">
        <v>1</v>
      </c>
      <c r="C16" t="s">
        <v>17</v>
      </c>
      <c r="E16">
        <v>1608</v>
      </c>
      <c r="G16" t="s">
        <v>186</v>
      </c>
      <c r="J16" t="s">
        <v>17</v>
      </c>
      <c r="K16" t="b">
        <f t="shared" si="0"/>
        <v>1</v>
      </c>
      <c r="L16">
        <f t="shared" si="3"/>
        <v>16</v>
      </c>
      <c r="M16">
        <f t="shared" si="4"/>
        <v>8</v>
      </c>
      <c r="N16" t="str">
        <f ca="1">IF(K16,IF(M16=1,A16,joincells(OFFSET(A:A,L16-1,0,M16,1))),"")</f>
        <v>C1,C2,C3,C4,C5,C7,C8,C9</v>
      </c>
      <c r="O16" t="str">
        <f t="shared" ca="1" si="1"/>
        <v>GCM188R71E105KA64D</v>
      </c>
      <c r="P16">
        <f t="shared" ca="1" si="2"/>
        <v>8</v>
      </c>
    </row>
    <row r="17" spans="1:16" x14ac:dyDescent="0.4">
      <c r="A17" t="s">
        <v>28</v>
      </c>
      <c r="B17">
        <v>1</v>
      </c>
      <c r="C17" t="s">
        <v>17</v>
      </c>
      <c r="E17">
        <v>1608</v>
      </c>
      <c r="G17" t="s">
        <v>186</v>
      </c>
      <c r="J17" t="s">
        <v>17</v>
      </c>
      <c r="K17" t="b">
        <f t="shared" si="0"/>
        <v>0</v>
      </c>
      <c r="L17">
        <f t="shared" si="3"/>
        <v>17</v>
      </c>
      <c r="M17">
        <f t="shared" si="4"/>
        <v>8</v>
      </c>
      <c r="N17" t="str">
        <f ca="1">IF(K17,IF(M17=1,A17,joincells(OFFSET(A:A,L17-1,0,M17,1))),"")</f>
        <v/>
      </c>
      <c r="O17" t="str">
        <f t="shared" ca="1" si="1"/>
        <v/>
      </c>
      <c r="P17" t="str">
        <f t="shared" ca="1" si="2"/>
        <v/>
      </c>
    </row>
    <row r="18" spans="1:16" x14ac:dyDescent="0.4">
      <c r="A18" t="s">
        <v>29</v>
      </c>
      <c r="B18">
        <v>1</v>
      </c>
      <c r="C18" t="s">
        <v>17</v>
      </c>
      <c r="E18">
        <v>1608</v>
      </c>
      <c r="G18" t="s">
        <v>186</v>
      </c>
      <c r="J18" t="s">
        <v>17</v>
      </c>
      <c r="K18" t="b">
        <f t="shared" si="0"/>
        <v>0</v>
      </c>
      <c r="L18">
        <f t="shared" si="3"/>
        <v>18</v>
      </c>
      <c r="M18">
        <f t="shared" si="4"/>
        <v>8</v>
      </c>
      <c r="N18" t="str">
        <f ca="1">IF(K18,IF(M18=1,A18,joincells(OFFSET(A:A,L18-1,0,M18,1))),"")</f>
        <v/>
      </c>
      <c r="O18" t="str">
        <f t="shared" ca="1" si="1"/>
        <v/>
      </c>
      <c r="P18" t="str">
        <f t="shared" ca="1" si="2"/>
        <v/>
      </c>
    </row>
    <row r="19" spans="1:16" x14ac:dyDescent="0.4">
      <c r="A19" t="s">
        <v>32</v>
      </c>
      <c r="B19">
        <v>1</v>
      </c>
      <c r="C19" t="s">
        <v>17</v>
      </c>
      <c r="E19">
        <v>1608</v>
      </c>
      <c r="G19" t="s">
        <v>186</v>
      </c>
      <c r="J19" t="s">
        <v>17</v>
      </c>
      <c r="K19" t="b">
        <f t="shared" si="0"/>
        <v>0</v>
      </c>
      <c r="L19">
        <f t="shared" si="3"/>
        <v>19</v>
      </c>
      <c r="M19">
        <f t="shared" si="4"/>
        <v>8</v>
      </c>
      <c r="N19" t="str">
        <f ca="1">IF(K19,IF(M19=1,A19,joincells(OFFSET(A:A,L19-1,0,M19,1))),"")</f>
        <v/>
      </c>
      <c r="O19" t="str">
        <f t="shared" ca="1" si="1"/>
        <v/>
      </c>
      <c r="P19" t="str">
        <f t="shared" ca="1" si="2"/>
        <v/>
      </c>
    </row>
    <row r="20" spans="1:16" x14ac:dyDescent="0.4">
      <c r="A20" t="s">
        <v>31</v>
      </c>
      <c r="B20">
        <v>1</v>
      </c>
      <c r="C20" t="s">
        <v>17</v>
      </c>
      <c r="E20">
        <v>1608</v>
      </c>
      <c r="G20" t="s">
        <v>186</v>
      </c>
      <c r="J20" t="s">
        <v>17</v>
      </c>
      <c r="K20" t="b">
        <f t="shared" si="0"/>
        <v>0</v>
      </c>
      <c r="L20">
        <f t="shared" si="3"/>
        <v>20</v>
      </c>
      <c r="M20">
        <f t="shared" si="4"/>
        <v>8</v>
      </c>
      <c r="N20" t="str">
        <f ca="1">IF(K20,IF(M20=1,A20,joincells(OFFSET(A:A,L20-1,0,M20,1))),"")</f>
        <v/>
      </c>
      <c r="O20" t="str">
        <f t="shared" ca="1" si="1"/>
        <v/>
      </c>
      <c r="P20" t="str">
        <f t="shared" ca="1" si="2"/>
        <v/>
      </c>
    </row>
    <row r="21" spans="1:16" x14ac:dyDescent="0.4">
      <c r="A21" t="s">
        <v>23</v>
      </c>
      <c r="B21">
        <v>1</v>
      </c>
      <c r="C21" t="s">
        <v>17</v>
      </c>
      <c r="E21">
        <v>1608</v>
      </c>
      <c r="G21" t="s">
        <v>186</v>
      </c>
      <c r="J21" t="s">
        <v>17</v>
      </c>
      <c r="K21" t="b">
        <f t="shared" si="0"/>
        <v>0</v>
      </c>
      <c r="L21">
        <f t="shared" si="3"/>
        <v>21</v>
      </c>
      <c r="M21">
        <f t="shared" si="4"/>
        <v>8</v>
      </c>
      <c r="N21" t="str">
        <f ca="1">IF(K21,IF(M21=1,A21,joincells(OFFSET(A:A,L21-1,0,M21,1))),"")</f>
        <v/>
      </c>
      <c r="O21" t="str">
        <f t="shared" ca="1" si="1"/>
        <v/>
      </c>
      <c r="P21" t="str">
        <f t="shared" ca="1" si="2"/>
        <v/>
      </c>
    </row>
    <row r="22" spans="1:16" x14ac:dyDescent="0.4">
      <c r="A22" t="s">
        <v>24</v>
      </c>
      <c r="B22">
        <v>1</v>
      </c>
      <c r="C22" t="s">
        <v>17</v>
      </c>
      <c r="E22">
        <v>1608</v>
      </c>
      <c r="G22" t="s">
        <v>186</v>
      </c>
      <c r="J22" t="s">
        <v>17</v>
      </c>
      <c r="K22" t="b">
        <f t="shared" si="0"/>
        <v>0</v>
      </c>
      <c r="L22">
        <f t="shared" si="3"/>
        <v>22</v>
      </c>
      <c r="M22">
        <f t="shared" si="4"/>
        <v>8</v>
      </c>
      <c r="N22" t="str">
        <f ca="1">IF(K22,IF(M22=1,A22,joincells(OFFSET(A:A,L22-1,0,M22,1))),"")</f>
        <v/>
      </c>
      <c r="O22" t="str">
        <f t="shared" ca="1" si="1"/>
        <v/>
      </c>
      <c r="P22" t="str">
        <f t="shared" ca="1" si="2"/>
        <v/>
      </c>
    </row>
    <row r="23" spans="1:16" x14ac:dyDescent="0.4">
      <c r="A23" t="s">
        <v>22</v>
      </c>
      <c r="B23">
        <v>1</v>
      </c>
      <c r="C23" t="s">
        <v>17</v>
      </c>
      <c r="E23">
        <v>1608</v>
      </c>
      <c r="G23" t="s">
        <v>186</v>
      </c>
      <c r="J23" t="s">
        <v>17</v>
      </c>
      <c r="K23" t="b">
        <f t="shared" si="0"/>
        <v>0</v>
      </c>
      <c r="L23">
        <f t="shared" si="3"/>
        <v>23</v>
      </c>
      <c r="M23">
        <f t="shared" si="4"/>
        <v>8</v>
      </c>
      <c r="N23" t="str">
        <f ca="1">IF(K23,IF(M23=1,A23,joincells(OFFSET(A:A,L23-1,0,M23,1))),"")</f>
        <v/>
      </c>
      <c r="O23" t="str">
        <f t="shared" ca="1" si="1"/>
        <v/>
      </c>
      <c r="P23" t="str">
        <f t="shared" ca="1" si="2"/>
        <v/>
      </c>
    </row>
    <row r="24" spans="1:16" x14ac:dyDescent="0.4">
      <c r="A24" t="s">
        <v>21</v>
      </c>
      <c r="B24">
        <v>1</v>
      </c>
      <c r="C24" t="s">
        <v>17</v>
      </c>
      <c r="E24">
        <v>1608</v>
      </c>
      <c r="G24" t="s">
        <v>185</v>
      </c>
      <c r="J24" t="s">
        <v>17</v>
      </c>
      <c r="K24" t="b">
        <f t="shared" si="0"/>
        <v>1</v>
      </c>
      <c r="L24">
        <f t="shared" si="3"/>
        <v>24</v>
      </c>
      <c r="M24">
        <f t="shared" si="4"/>
        <v>9</v>
      </c>
      <c r="N24" t="str">
        <f ca="1">IF(K24,IF(M24=1,A24,joincells(OFFSET(A:A,L24-1,0,M24,1))),"")</f>
        <v>C12,C13,C18,C19,C20,C21,C22,C23,C6</v>
      </c>
      <c r="O24" t="str">
        <f t="shared" ca="1" si="1"/>
        <v>GRM188R71H104KA93D</v>
      </c>
      <c r="P24">
        <f t="shared" ca="1" si="2"/>
        <v>9</v>
      </c>
    </row>
    <row r="25" spans="1:16" x14ac:dyDescent="0.4">
      <c r="A25" t="s">
        <v>25</v>
      </c>
      <c r="B25">
        <v>1</v>
      </c>
      <c r="C25" t="s">
        <v>17</v>
      </c>
      <c r="E25">
        <v>1608</v>
      </c>
      <c r="G25" t="s">
        <v>18</v>
      </c>
      <c r="J25" t="s">
        <v>17</v>
      </c>
      <c r="K25" t="b">
        <f t="shared" si="0"/>
        <v>0</v>
      </c>
      <c r="L25">
        <f t="shared" si="3"/>
        <v>25</v>
      </c>
      <c r="M25">
        <f t="shared" si="4"/>
        <v>9</v>
      </c>
      <c r="N25" t="str">
        <f ca="1">IF(K25,IF(M25=1,A25,joincells(OFFSET(A:A,L25-1,0,M25,1))),"")</f>
        <v/>
      </c>
      <c r="O25" t="str">
        <f t="shared" ca="1" si="1"/>
        <v/>
      </c>
      <c r="P25" t="str">
        <f t="shared" ca="1" si="2"/>
        <v/>
      </c>
    </row>
    <row r="26" spans="1:16" x14ac:dyDescent="0.4">
      <c r="A26" t="s">
        <v>19</v>
      </c>
      <c r="B26">
        <v>1</v>
      </c>
      <c r="C26" t="s">
        <v>17</v>
      </c>
      <c r="E26">
        <v>1608</v>
      </c>
      <c r="G26" t="s">
        <v>18</v>
      </c>
      <c r="J26" t="s">
        <v>17</v>
      </c>
      <c r="K26" t="b">
        <f t="shared" si="0"/>
        <v>0</v>
      </c>
      <c r="L26">
        <f t="shared" si="3"/>
        <v>26</v>
      </c>
      <c r="M26">
        <f t="shared" si="4"/>
        <v>9</v>
      </c>
      <c r="N26" t="str">
        <f ca="1">IF(K26,IF(M26=1,A26,joincells(OFFSET(A:A,L26-1,0,M26,1))),"")</f>
        <v/>
      </c>
      <c r="O26" t="str">
        <f t="shared" ca="1" si="1"/>
        <v/>
      </c>
      <c r="P26" t="str">
        <f t="shared" ca="1" si="2"/>
        <v/>
      </c>
    </row>
    <row r="27" spans="1:16" x14ac:dyDescent="0.4">
      <c r="A27" t="s">
        <v>16</v>
      </c>
      <c r="B27">
        <v>1</v>
      </c>
      <c r="C27" t="s">
        <v>17</v>
      </c>
      <c r="E27">
        <v>1608</v>
      </c>
      <c r="G27" t="s">
        <v>18</v>
      </c>
      <c r="J27" t="s">
        <v>17</v>
      </c>
      <c r="K27" t="b">
        <f t="shared" si="0"/>
        <v>0</v>
      </c>
      <c r="L27">
        <f t="shared" si="3"/>
        <v>27</v>
      </c>
      <c r="M27">
        <f t="shared" si="4"/>
        <v>9</v>
      </c>
      <c r="N27" t="str">
        <f ca="1">IF(K27,IF(M27=1,A27,joincells(OFFSET(A:A,L27-1,0,M27,1))),"")</f>
        <v/>
      </c>
      <c r="O27" t="str">
        <f t="shared" ca="1" si="1"/>
        <v/>
      </c>
      <c r="P27" t="str">
        <f t="shared" ca="1" si="2"/>
        <v/>
      </c>
    </row>
    <row r="28" spans="1:16" x14ac:dyDescent="0.4">
      <c r="A28" t="s">
        <v>27</v>
      </c>
      <c r="B28">
        <v>1</v>
      </c>
      <c r="C28" t="s">
        <v>17</v>
      </c>
      <c r="E28">
        <v>1608</v>
      </c>
      <c r="G28" t="s">
        <v>185</v>
      </c>
      <c r="J28" t="s">
        <v>17</v>
      </c>
      <c r="K28" t="b">
        <f t="shared" si="0"/>
        <v>0</v>
      </c>
      <c r="L28">
        <f t="shared" si="3"/>
        <v>28</v>
      </c>
      <c r="M28">
        <f t="shared" si="4"/>
        <v>9</v>
      </c>
      <c r="N28" t="str">
        <f ca="1">IF(K28,IF(M28=1,A28,joincells(OFFSET(A:A,L28-1,0,M28,1))),"")</f>
        <v/>
      </c>
      <c r="O28" t="str">
        <f t="shared" ca="1" si="1"/>
        <v/>
      </c>
      <c r="P28" t="str">
        <f t="shared" ca="1" si="2"/>
        <v/>
      </c>
    </row>
    <row r="29" spans="1:16" x14ac:dyDescent="0.4">
      <c r="A29" t="s">
        <v>26</v>
      </c>
      <c r="B29">
        <v>1</v>
      </c>
      <c r="C29" t="s">
        <v>17</v>
      </c>
      <c r="E29">
        <v>1608</v>
      </c>
      <c r="G29" t="s">
        <v>18</v>
      </c>
      <c r="J29" t="s">
        <v>17</v>
      </c>
      <c r="K29" t="b">
        <f t="shared" si="0"/>
        <v>0</v>
      </c>
      <c r="L29">
        <f t="shared" si="3"/>
        <v>29</v>
      </c>
      <c r="M29">
        <f t="shared" si="4"/>
        <v>9</v>
      </c>
      <c r="N29" t="str">
        <f ca="1">IF(K29,IF(M29=1,A29,joincells(OFFSET(A:A,L29-1,0,M29,1))),"")</f>
        <v/>
      </c>
      <c r="O29" t="str">
        <f t="shared" ca="1" si="1"/>
        <v/>
      </c>
      <c r="P29" t="str">
        <f t="shared" ca="1" si="2"/>
        <v/>
      </c>
    </row>
    <row r="30" spans="1:16" x14ac:dyDescent="0.4">
      <c r="A30" t="s">
        <v>33</v>
      </c>
      <c r="B30">
        <v>1</v>
      </c>
      <c r="C30" t="s">
        <v>17</v>
      </c>
      <c r="E30">
        <v>1608</v>
      </c>
      <c r="G30" t="s">
        <v>18</v>
      </c>
      <c r="J30" t="s">
        <v>17</v>
      </c>
      <c r="K30" t="b">
        <f t="shared" si="0"/>
        <v>0</v>
      </c>
      <c r="L30">
        <f t="shared" si="3"/>
        <v>30</v>
      </c>
      <c r="M30">
        <f t="shared" si="4"/>
        <v>9</v>
      </c>
      <c r="N30" t="str">
        <f ca="1">IF(K30,IF(M30=1,A30,joincells(OFFSET(A:A,L30-1,0,M30,1))),"")</f>
        <v/>
      </c>
      <c r="O30" t="str">
        <f t="shared" ca="1" si="1"/>
        <v/>
      </c>
      <c r="P30" t="str">
        <f t="shared" ca="1" si="2"/>
        <v/>
      </c>
    </row>
    <row r="31" spans="1:16" x14ac:dyDescent="0.4">
      <c r="A31" t="s">
        <v>122</v>
      </c>
      <c r="B31">
        <v>1</v>
      </c>
      <c r="C31" t="s">
        <v>17</v>
      </c>
      <c r="E31">
        <v>1608</v>
      </c>
      <c r="G31" t="s">
        <v>18</v>
      </c>
      <c r="J31" t="s">
        <v>17</v>
      </c>
      <c r="K31" t="b">
        <f t="shared" si="0"/>
        <v>0</v>
      </c>
      <c r="L31">
        <f t="shared" si="3"/>
        <v>31</v>
      </c>
      <c r="M31">
        <f t="shared" si="4"/>
        <v>9</v>
      </c>
      <c r="N31" t="str">
        <f ca="1">IF(K31,IF(M31=1,A31,joincells(OFFSET(A:A,L31-1,0,M31,1))),"")</f>
        <v/>
      </c>
      <c r="O31" t="str">
        <f t="shared" ca="1" si="1"/>
        <v/>
      </c>
      <c r="P31" t="str">
        <f t="shared" ca="1" si="2"/>
        <v/>
      </c>
    </row>
    <row r="32" spans="1:16" x14ac:dyDescent="0.4">
      <c r="A32" t="s">
        <v>20</v>
      </c>
      <c r="B32">
        <v>1</v>
      </c>
      <c r="C32" t="s">
        <v>17</v>
      </c>
      <c r="E32">
        <v>1608</v>
      </c>
      <c r="G32" t="s">
        <v>18</v>
      </c>
      <c r="J32" t="s">
        <v>17</v>
      </c>
      <c r="K32" t="b">
        <f t="shared" si="0"/>
        <v>0</v>
      </c>
      <c r="L32">
        <f t="shared" si="3"/>
        <v>32</v>
      </c>
      <c r="M32">
        <f t="shared" si="4"/>
        <v>9</v>
      </c>
      <c r="N32" t="str">
        <f ca="1">IF(K32,IF(M32=1,A32,joincells(OFFSET(A:A,L32-1,0,M32,1))),"")</f>
        <v/>
      </c>
      <c r="O32" t="str">
        <f t="shared" ca="1" si="1"/>
        <v/>
      </c>
      <c r="P32" t="str">
        <f t="shared" ca="1" si="2"/>
        <v/>
      </c>
    </row>
    <row r="33" spans="1:16" x14ac:dyDescent="0.4">
      <c r="A33" t="s">
        <v>43</v>
      </c>
      <c r="B33">
        <v>1</v>
      </c>
      <c r="C33" t="s">
        <v>44</v>
      </c>
      <c r="E33" t="s">
        <v>45</v>
      </c>
      <c r="F33" t="s">
        <v>46</v>
      </c>
      <c r="G33" t="s">
        <v>44</v>
      </c>
      <c r="H33">
        <v>1686801</v>
      </c>
      <c r="J33" t="s">
        <v>47</v>
      </c>
      <c r="K33" t="b">
        <f t="shared" si="0"/>
        <v>1</v>
      </c>
      <c r="L33">
        <f t="shared" si="3"/>
        <v>33</v>
      </c>
      <c r="M33">
        <f t="shared" si="4"/>
        <v>1</v>
      </c>
      <c r="N33" t="str">
        <f ca="1">IF(K33,IF(M33=1,A33,joincells(OFFSET(A:A,L33-1,0,M33,1))),"")</f>
        <v>IC1</v>
      </c>
      <c r="O33" t="str">
        <f t="shared" ca="1" si="1"/>
        <v>L78M05CDT-TR</v>
      </c>
      <c r="P33">
        <f t="shared" ca="1" si="2"/>
        <v>1</v>
      </c>
    </row>
    <row r="34" spans="1:16" x14ac:dyDescent="0.4">
      <c r="A34" t="s">
        <v>48</v>
      </c>
      <c r="B34">
        <v>1</v>
      </c>
      <c r="C34" t="s">
        <v>49</v>
      </c>
      <c r="E34" t="s">
        <v>50</v>
      </c>
      <c r="F34" t="s">
        <v>46</v>
      </c>
      <c r="G34" t="s">
        <v>49</v>
      </c>
      <c r="J34" t="s">
        <v>51</v>
      </c>
      <c r="K34" t="b">
        <f t="shared" si="0"/>
        <v>1</v>
      </c>
      <c r="L34">
        <f t="shared" si="3"/>
        <v>34</v>
      </c>
      <c r="M34">
        <f t="shared" si="4"/>
        <v>3</v>
      </c>
      <c r="N34" t="str">
        <f ca="1">IF(K34,IF(M34=1,A34,joincells(OFFSET(A:A,L34-1,0,M34,1))),"")</f>
        <v>IC10,IC11,IC6</v>
      </c>
      <c r="O34" t="str">
        <f t="shared" ca="1" si="1"/>
        <v>LMV324IYPT</v>
      </c>
      <c r="P34">
        <f t="shared" ca="1" si="2"/>
        <v>3</v>
      </c>
    </row>
    <row r="35" spans="1:16" x14ac:dyDescent="0.4">
      <c r="A35" t="s">
        <v>52</v>
      </c>
      <c r="B35">
        <v>1</v>
      </c>
      <c r="C35" t="s">
        <v>49</v>
      </c>
      <c r="E35" t="s">
        <v>50</v>
      </c>
      <c r="F35" t="s">
        <v>46</v>
      </c>
      <c r="G35" t="s">
        <v>49</v>
      </c>
      <c r="J35" t="s">
        <v>51</v>
      </c>
      <c r="K35" t="b">
        <f t="shared" si="0"/>
        <v>0</v>
      </c>
      <c r="L35">
        <f t="shared" si="3"/>
        <v>35</v>
      </c>
      <c r="M35">
        <f t="shared" si="4"/>
        <v>3</v>
      </c>
      <c r="N35" t="str">
        <f ca="1">IF(K35,IF(M35=1,A35,joincells(OFFSET(A:A,L35-1,0,M35,1))),"")</f>
        <v/>
      </c>
      <c r="O35" t="str">
        <f t="shared" ca="1" si="1"/>
        <v/>
      </c>
      <c r="P35" t="str">
        <f t="shared" ca="1" si="2"/>
        <v/>
      </c>
    </row>
    <row r="36" spans="1:16" x14ac:dyDescent="0.4">
      <c r="A36" t="s">
        <v>15</v>
      </c>
      <c r="B36">
        <v>1</v>
      </c>
      <c r="C36" t="s">
        <v>49</v>
      </c>
      <c r="E36" t="s">
        <v>50</v>
      </c>
      <c r="F36" t="s">
        <v>46</v>
      </c>
      <c r="G36" t="s">
        <v>49</v>
      </c>
      <c r="J36" t="s">
        <v>51</v>
      </c>
      <c r="K36" t="b">
        <f t="shared" si="0"/>
        <v>0</v>
      </c>
      <c r="L36">
        <f t="shared" si="3"/>
        <v>36</v>
      </c>
      <c r="M36">
        <f t="shared" si="4"/>
        <v>3</v>
      </c>
      <c r="N36" t="str">
        <f ca="1">IF(K36,IF(M36=1,A36,joincells(OFFSET(A:A,L36-1,0,M36,1))),"")</f>
        <v/>
      </c>
      <c r="O36" t="str">
        <f t="shared" ca="1" si="1"/>
        <v/>
      </c>
      <c r="P36" t="str">
        <f t="shared" ca="1" si="2"/>
        <v/>
      </c>
    </row>
    <row r="37" spans="1:16" x14ac:dyDescent="0.4">
      <c r="A37" t="s">
        <v>100</v>
      </c>
      <c r="B37">
        <v>1</v>
      </c>
      <c r="C37" t="s">
        <v>59</v>
      </c>
      <c r="E37" t="s">
        <v>60</v>
      </c>
      <c r="F37" t="s">
        <v>61</v>
      </c>
      <c r="G37" t="s">
        <v>62</v>
      </c>
      <c r="J37" t="s">
        <v>63</v>
      </c>
      <c r="K37" t="b">
        <f t="shared" si="0"/>
        <v>1</v>
      </c>
      <c r="L37">
        <f t="shared" si="3"/>
        <v>37</v>
      </c>
      <c r="M37">
        <f t="shared" si="4"/>
        <v>3</v>
      </c>
      <c r="N37" t="str">
        <f ca="1">IF(K37,IF(M37=1,A37,joincells(OFFSET(A:A,L37-1,0,M37,1))),"")</f>
        <v>IC12,IC8,IC9</v>
      </c>
      <c r="O37" t="str">
        <f t="shared" ca="1" si="1"/>
        <v>MCP4728A0T-E/UN</v>
      </c>
      <c r="P37">
        <f t="shared" ca="1" si="2"/>
        <v>3</v>
      </c>
    </row>
    <row r="38" spans="1:16" x14ac:dyDescent="0.4">
      <c r="A38" t="s">
        <v>58</v>
      </c>
      <c r="B38">
        <v>1</v>
      </c>
      <c r="C38" t="s">
        <v>59</v>
      </c>
      <c r="E38" t="s">
        <v>60</v>
      </c>
      <c r="F38" t="s">
        <v>61</v>
      </c>
      <c r="G38" t="s">
        <v>62</v>
      </c>
      <c r="J38" t="s">
        <v>63</v>
      </c>
      <c r="K38" t="b">
        <f t="shared" si="0"/>
        <v>0</v>
      </c>
      <c r="L38">
        <f t="shared" si="3"/>
        <v>38</v>
      </c>
      <c r="M38">
        <f t="shared" si="4"/>
        <v>3</v>
      </c>
      <c r="N38" t="str">
        <f ca="1">IF(K38,IF(M38=1,A38,joincells(OFFSET(A:A,L38-1,0,M38,1))),"")</f>
        <v/>
      </c>
      <c r="O38" t="str">
        <f t="shared" ca="1" si="1"/>
        <v/>
      </c>
      <c r="P38" t="str">
        <f t="shared" ca="1" si="2"/>
        <v/>
      </c>
    </row>
    <row r="39" spans="1:16" x14ac:dyDescent="0.4">
      <c r="A39" t="s">
        <v>64</v>
      </c>
      <c r="B39">
        <v>1</v>
      </c>
      <c r="C39" t="s">
        <v>59</v>
      </c>
      <c r="E39" t="s">
        <v>60</v>
      </c>
      <c r="F39" t="s">
        <v>61</v>
      </c>
      <c r="G39" t="s">
        <v>62</v>
      </c>
      <c r="J39" t="s">
        <v>63</v>
      </c>
      <c r="K39" t="b">
        <f t="shared" si="0"/>
        <v>0</v>
      </c>
      <c r="L39">
        <f t="shared" si="3"/>
        <v>39</v>
      </c>
      <c r="M39">
        <f t="shared" si="4"/>
        <v>3</v>
      </c>
      <c r="N39" t="str">
        <f ca="1">IF(K39,IF(M39=1,A39,joincells(OFFSET(A:A,L39-1,0,M39,1))),"")</f>
        <v/>
      </c>
      <c r="O39" t="str">
        <f t="shared" ca="1" si="1"/>
        <v/>
      </c>
      <c r="P39" t="str">
        <f t="shared" ca="1" si="2"/>
        <v/>
      </c>
    </row>
    <row r="40" spans="1:16" x14ac:dyDescent="0.4">
      <c r="A40" t="s">
        <v>66</v>
      </c>
      <c r="B40">
        <v>1</v>
      </c>
      <c r="C40" t="s">
        <v>67</v>
      </c>
      <c r="E40" t="s">
        <v>68</v>
      </c>
      <c r="F40" t="s">
        <v>65</v>
      </c>
      <c r="G40" t="s">
        <v>67</v>
      </c>
      <c r="H40">
        <v>1242377</v>
      </c>
      <c r="J40" t="s">
        <v>69</v>
      </c>
      <c r="K40" t="b">
        <f t="shared" si="0"/>
        <v>1</v>
      </c>
      <c r="L40">
        <f t="shared" si="3"/>
        <v>40</v>
      </c>
      <c r="M40">
        <f t="shared" si="4"/>
        <v>1</v>
      </c>
      <c r="N40" t="str">
        <f ca="1">IF(K40,IF(M40=1,A40,joincells(OFFSET(A:A,L40-1,0,M40,1))),"")</f>
        <v>Z1</v>
      </c>
      <c r="O40" t="str">
        <f t="shared" ca="1" si="1"/>
        <v>PESD2CAN,215</v>
      </c>
      <c r="P40">
        <f t="shared" ca="1" si="2"/>
        <v>1</v>
      </c>
    </row>
    <row r="41" spans="1:16" x14ac:dyDescent="0.4">
      <c r="A41" t="s">
        <v>157</v>
      </c>
      <c r="B41">
        <v>1</v>
      </c>
      <c r="C41" t="s">
        <v>158</v>
      </c>
      <c r="E41" t="s">
        <v>159</v>
      </c>
      <c r="G41" t="s">
        <v>158</v>
      </c>
      <c r="J41" t="s">
        <v>158</v>
      </c>
      <c r="K41" t="b">
        <f t="shared" si="0"/>
        <v>1</v>
      </c>
      <c r="L41">
        <f t="shared" si="3"/>
        <v>41</v>
      </c>
      <c r="M41">
        <f t="shared" si="4"/>
        <v>1</v>
      </c>
      <c r="N41" t="str">
        <f ca="1">IF(K41,IF(M41=1,A41,joincells(OFFSET(A:A,L41-1,0,M41,1))),"")</f>
        <v>Q1</v>
      </c>
      <c r="O41" t="str">
        <f t="shared" ca="1" si="1"/>
        <v>QS6K1TR</v>
      </c>
      <c r="P41">
        <f t="shared" ca="1" si="2"/>
        <v>1</v>
      </c>
    </row>
    <row r="42" spans="1:16" x14ac:dyDescent="0.4">
      <c r="A42" t="s">
        <v>77</v>
      </c>
      <c r="B42">
        <v>1</v>
      </c>
      <c r="C42" t="s">
        <v>71</v>
      </c>
      <c r="E42">
        <v>3216</v>
      </c>
      <c r="G42" t="s">
        <v>78</v>
      </c>
      <c r="J42" t="s">
        <v>73</v>
      </c>
      <c r="K42" t="b">
        <f t="shared" si="0"/>
        <v>1</v>
      </c>
      <c r="L42">
        <f t="shared" si="3"/>
        <v>42</v>
      </c>
      <c r="M42">
        <f t="shared" si="4"/>
        <v>1</v>
      </c>
      <c r="N42" t="str">
        <f ca="1">IF(K42,IF(M42=1,A42,joincells(OFFSET(A:A,L42-1,0,M42,1))),"")</f>
        <v>R12</v>
      </c>
      <c r="O42" t="str">
        <f t="shared" ca="1" si="1"/>
        <v>RC1206JR-07120RL</v>
      </c>
      <c r="P42">
        <f t="shared" ca="1" si="2"/>
        <v>1</v>
      </c>
    </row>
    <row r="43" spans="1:16" x14ac:dyDescent="0.4">
      <c r="A43" t="s">
        <v>74</v>
      </c>
      <c r="B43">
        <v>1</v>
      </c>
      <c r="C43" t="s">
        <v>71</v>
      </c>
      <c r="E43">
        <v>1608</v>
      </c>
      <c r="G43" t="s">
        <v>72</v>
      </c>
      <c r="J43" t="s">
        <v>73</v>
      </c>
      <c r="K43" t="b">
        <f t="shared" si="0"/>
        <v>1</v>
      </c>
      <c r="L43">
        <f t="shared" si="3"/>
        <v>43</v>
      </c>
      <c r="M43">
        <f t="shared" si="4"/>
        <v>2</v>
      </c>
      <c r="N43" t="str">
        <f ca="1">IF(K43,IF(M43=1,A43,joincells(OFFSET(A:A,L43-1,0,M43,1))),"")</f>
        <v>R19,R21</v>
      </c>
      <c r="O43" t="str">
        <f t="shared" ca="1" si="1"/>
        <v>RK73H1JTTD4701F</v>
      </c>
      <c r="P43">
        <f t="shared" ca="1" si="2"/>
        <v>2</v>
      </c>
    </row>
    <row r="44" spans="1:16" x14ac:dyDescent="0.4">
      <c r="A44" t="s">
        <v>70</v>
      </c>
      <c r="B44">
        <v>1</v>
      </c>
      <c r="C44" t="s">
        <v>71</v>
      </c>
      <c r="E44">
        <v>1608</v>
      </c>
      <c r="G44" t="s">
        <v>72</v>
      </c>
      <c r="J44" t="s">
        <v>73</v>
      </c>
      <c r="K44" t="b">
        <f t="shared" si="0"/>
        <v>0</v>
      </c>
      <c r="L44">
        <f t="shared" si="3"/>
        <v>44</v>
      </c>
      <c r="M44">
        <f t="shared" si="4"/>
        <v>2</v>
      </c>
      <c r="N44" t="str">
        <f ca="1">IF(K44,IF(M44=1,A44,joincells(OFFSET(A:A,L44-1,0,M44,1))),"")</f>
        <v/>
      </c>
      <c r="O44" t="str">
        <f t="shared" ca="1" si="1"/>
        <v/>
      </c>
      <c r="P44" t="str">
        <f t="shared" ca="1" si="2"/>
        <v/>
      </c>
    </row>
    <row r="45" spans="1:16" x14ac:dyDescent="0.4">
      <c r="A45" t="s">
        <v>14</v>
      </c>
      <c r="B45">
        <v>1</v>
      </c>
      <c r="C45" t="s">
        <v>54</v>
      </c>
      <c r="E45" t="s">
        <v>55</v>
      </c>
      <c r="G45" t="s">
        <v>56</v>
      </c>
      <c r="J45" t="s">
        <v>57</v>
      </c>
      <c r="K45" t="b">
        <f t="shared" si="0"/>
        <v>1</v>
      </c>
      <c r="L45">
        <f t="shared" si="3"/>
        <v>45</v>
      </c>
      <c r="M45">
        <f t="shared" si="4"/>
        <v>1</v>
      </c>
      <c r="N45" t="str">
        <f ca="1">IF(K45,IF(M45=1,A45,joincells(OFFSET(A:A,L45-1,0,M45,1))),"")</f>
        <v>IC4</v>
      </c>
      <c r="O45" t="str">
        <f t="shared" ca="1" si="1"/>
        <v>SN65HVD1050DR</v>
      </c>
      <c r="P45">
        <f t="shared" ca="1" si="2"/>
        <v>1</v>
      </c>
    </row>
    <row r="46" spans="1:16" x14ac:dyDescent="0.4">
      <c r="A46" t="s">
        <v>53</v>
      </c>
      <c r="B46">
        <v>1</v>
      </c>
      <c r="C46" t="s">
        <v>94</v>
      </c>
      <c r="E46" t="s">
        <v>95</v>
      </c>
      <c r="F46" t="s">
        <v>46</v>
      </c>
      <c r="G46" t="s">
        <v>94</v>
      </c>
      <c r="H46">
        <v>1655434</v>
      </c>
      <c r="J46" t="s">
        <v>96</v>
      </c>
      <c r="K46" t="b">
        <f t="shared" si="0"/>
        <v>1</v>
      </c>
      <c r="L46">
        <f t="shared" si="3"/>
        <v>46</v>
      </c>
      <c r="M46">
        <f t="shared" si="4"/>
        <v>1</v>
      </c>
      <c r="N46" t="str">
        <f ca="1">IF(K46,IF(M46=1,A46,joincells(OFFSET(A:A,L46-1,0,M46,1))),"")</f>
        <v>IC2</v>
      </c>
      <c r="O46" t="str">
        <f t="shared" ca="1" si="1"/>
        <v>STM32F042F6P6</v>
      </c>
      <c r="P46">
        <f t="shared" ca="1" si="2"/>
        <v>1</v>
      </c>
    </row>
    <row r="47" spans="1:16" x14ac:dyDescent="0.4">
      <c r="A47" t="s">
        <v>93</v>
      </c>
      <c r="B47">
        <v>1</v>
      </c>
      <c r="C47" t="s">
        <v>97</v>
      </c>
      <c r="E47" t="s">
        <v>98</v>
      </c>
      <c r="G47" t="s">
        <v>97</v>
      </c>
      <c r="J47" t="s">
        <v>99</v>
      </c>
      <c r="K47" t="b">
        <f t="shared" si="0"/>
        <v>1</v>
      </c>
      <c r="L47">
        <f t="shared" si="3"/>
        <v>47</v>
      </c>
      <c r="M47">
        <f t="shared" si="4"/>
        <v>1</v>
      </c>
      <c r="N47" t="str">
        <f ca="1">IF(K47,IF(M47=1,A47,joincells(OFFSET(A:A,L47-1,0,M47,1))),"")</f>
        <v>IC5</v>
      </c>
      <c r="O47" t="str">
        <f t="shared" ca="1" si="1"/>
        <v>TCA9535PWR</v>
      </c>
      <c r="P47">
        <f t="shared" ca="1" si="2"/>
        <v>1</v>
      </c>
    </row>
    <row r="48" spans="1:16" x14ac:dyDescent="0.4">
      <c r="A48" t="s">
        <v>101</v>
      </c>
      <c r="B48">
        <v>1</v>
      </c>
      <c r="C48" t="s">
        <v>102</v>
      </c>
      <c r="E48" t="s">
        <v>103</v>
      </c>
      <c r="F48" t="s">
        <v>104</v>
      </c>
      <c r="G48" t="s">
        <v>102</v>
      </c>
      <c r="J48" t="s">
        <v>105</v>
      </c>
      <c r="K48" t="b">
        <f t="shared" si="0"/>
        <v>1</v>
      </c>
      <c r="L48">
        <f t="shared" si="3"/>
        <v>48</v>
      </c>
      <c r="M48">
        <f t="shared" si="4"/>
        <v>1</v>
      </c>
      <c r="N48" t="str">
        <f ca="1">IF(K48,IF(M48=1,A48,joincells(OFFSET(A:A,L48-1,0,M48,1))),"")</f>
        <v>IC3</v>
      </c>
      <c r="O48" t="str">
        <f t="shared" ca="1" si="1"/>
        <v>TLV70233DBVR</v>
      </c>
      <c r="P48">
        <f t="shared" ca="1" si="2"/>
        <v>1</v>
      </c>
    </row>
    <row r="49" spans="1:16" x14ac:dyDescent="0.4">
      <c r="A49" t="s">
        <v>164</v>
      </c>
      <c r="B49">
        <v>1</v>
      </c>
      <c r="C49" t="s">
        <v>106</v>
      </c>
      <c r="E49" t="s">
        <v>107</v>
      </c>
      <c r="F49" t="s">
        <v>104</v>
      </c>
      <c r="G49" t="s">
        <v>106</v>
      </c>
      <c r="J49" t="s">
        <v>108</v>
      </c>
      <c r="K49" t="b">
        <f t="shared" si="0"/>
        <v>1</v>
      </c>
      <c r="L49">
        <f t="shared" si="3"/>
        <v>49</v>
      </c>
      <c r="M49">
        <f t="shared" si="4"/>
        <v>2</v>
      </c>
      <c r="N49" t="str">
        <f ca="1">IF(K49,IF(M49=1,A49,joincells(OFFSET(A:A,L49-1,0,M49,1))),"")</f>
        <v>T2,T3</v>
      </c>
      <c r="O49" t="str">
        <f t="shared" ca="1" si="1"/>
        <v>ULN2803ADWRG4</v>
      </c>
      <c r="P49">
        <f t="shared" ca="1" si="2"/>
        <v>2</v>
      </c>
    </row>
    <row r="50" spans="1:16" x14ac:dyDescent="0.4">
      <c r="A50" t="s">
        <v>165</v>
      </c>
      <c r="B50">
        <v>1</v>
      </c>
      <c r="C50" t="s">
        <v>106</v>
      </c>
      <c r="E50" t="s">
        <v>107</v>
      </c>
      <c r="F50" t="s">
        <v>104</v>
      </c>
      <c r="G50" t="s">
        <v>106</v>
      </c>
      <c r="J50" t="s">
        <v>108</v>
      </c>
      <c r="K50" t="b">
        <f t="shared" si="0"/>
        <v>0</v>
      </c>
      <c r="L50">
        <f t="shared" si="3"/>
        <v>50</v>
      </c>
      <c r="M50">
        <f t="shared" si="4"/>
        <v>2</v>
      </c>
      <c r="N50" t="str">
        <f ca="1">IF(K50,IF(M50=1,A50,joincells(OFFSET(A:A,L50-1,0,M50,1))),"")</f>
        <v/>
      </c>
      <c r="O50" t="str">
        <f t="shared" ca="1" si="1"/>
        <v/>
      </c>
      <c r="P50" t="str">
        <f t="shared" ca="1" si="2"/>
        <v/>
      </c>
    </row>
    <row r="51" spans="1:16" x14ac:dyDescent="0.4">
      <c r="A51" t="s">
        <v>109</v>
      </c>
      <c r="B51">
        <v>1</v>
      </c>
      <c r="C51" t="s">
        <v>110</v>
      </c>
      <c r="E51" t="s">
        <v>92</v>
      </c>
      <c r="J51" t="s">
        <v>111</v>
      </c>
      <c r="K51" t="b">
        <f t="shared" si="0"/>
        <v>0</v>
      </c>
      <c r="L51">
        <f t="shared" si="3"/>
        <v>51</v>
      </c>
      <c r="M51">
        <f t="shared" si="4"/>
        <v>0</v>
      </c>
      <c r="N51" t="str">
        <f ca="1">IF(K51,IF(M51=1,A51,joincells(OFFSET(A:A,L51-1,0,M51,1))),"")</f>
        <v/>
      </c>
      <c r="O51" t="str">
        <f t="shared" ca="1" si="1"/>
        <v/>
      </c>
      <c r="P51" t="str">
        <f t="shared" ca="1" si="2"/>
        <v/>
      </c>
    </row>
    <row r="52" spans="1:16" x14ac:dyDescent="0.4">
      <c r="A52" t="s">
        <v>35</v>
      </c>
      <c r="B52">
        <v>1</v>
      </c>
      <c r="C52" t="s">
        <v>36</v>
      </c>
      <c r="E52" t="s">
        <v>37</v>
      </c>
      <c r="J52" t="s">
        <v>36</v>
      </c>
      <c r="K52" t="b">
        <f t="shared" si="0"/>
        <v>0</v>
      </c>
      <c r="L52">
        <f t="shared" si="3"/>
        <v>52</v>
      </c>
      <c r="M52">
        <f t="shared" si="4"/>
        <v>0</v>
      </c>
      <c r="N52" t="str">
        <f ca="1">IF(K52,IF(M52=1,A52,joincells(OFFSET(A:A,L52-1,0,M52,1))),"")</f>
        <v/>
      </c>
      <c r="O52" t="str">
        <f t="shared" ca="1" si="1"/>
        <v/>
      </c>
      <c r="P52" t="str">
        <f t="shared" ca="1" si="2"/>
        <v/>
      </c>
    </row>
    <row r="53" spans="1:16" x14ac:dyDescent="0.4">
      <c r="A53" t="s">
        <v>90</v>
      </c>
      <c r="B53">
        <v>1</v>
      </c>
      <c r="C53" t="s">
        <v>91</v>
      </c>
      <c r="E53" t="s">
        <v>92</v>
      </c>
      <c r="K53" t="b">
        <f t="shared" si="0"/>
        <v>0</v>
      </c>
      <c r="L53">
        <f t="shared" si="3"/>
        <v>53</v>
      </c>
      <c r="M53">
        <f t="shared" si="4"/>
        <v>0</v>
      </c>
      <c r="N53" t="str">
        <f ca="1">IF(K53,IF(M53=1,A53,joincells(OFFSET(A:A,L53-1,0,M53,1))),"")</f>
        <v/>
      </c>
      <c r="O53" t="str">
        <f t="shared" ca="1" si="1"/>
        <v/>
      </c>
      <c r="P53" t="str">
        <f t="shared" ca="1" si="2"/>
        <v/>
      </c>
    </row>
    <row r="54" spans="1:16" x14ac:dyDescent="0.4">
      <c r="A54" t="s">
        <v>155</v>
      </c>
      <c r="B54">
        <v>1</v>
      </c>
      <c r="C54" t="s">
        <v>36</v>
      </c>
      <c r="E54" t="s">
        <v>37</v>
      </c>
      <c r="J54" t="s">
        <v>36</v>
      </c>
      <c r="K54" t="b">
        <f t="shared" si="0"/>
        <v>0</v>
      </c>
      <c r="L54">
        <f t="shared" si="3"/>
        <v>54</v>
      </c>
      <c r="M54">
        <f t="shared" si="4"/>
        <v>0</v>
      </c>
      <c r="N54" t="str">
        <f ca="1">IF(K54,IF(M54=1,A54,joincells(OFFSET(A:A,L54-1,0,M54,1))),"")</f>
        <v/>
      </c>
      <c r="O54" t="str">
        <f t="shared" ca="1" si="1"/>
        <v/>
      </c>
      <c r="P54" t="str">
        <f t="shared" ca="1" si="2"/>
        <v/>
      </c>
    </row>
    <row r="55" spans="1:16" x14ac:dyDescent="0.4">
      <c r="A55" t="s">
        <v>120</v>
      </c>
      <c r="B55">
        <v>1</v>
      </c>
      <c r="C55" t="s">
        <v>121</v>
      </c>
      <c r="E55" t="s">
        <v>92</v>
      </c>
      <c r="K55" t="b">
        <f t="shared" si="0"/>
        <v>0</v>
      </c>
      <c r="L55">
        <f t="shared" si="3"/>
        <v>55</v>
      </c>
      <c r="M55">
        <f t="shared" si="4"/>
        <v>0</v>
      </c>
      <c r="N55" t="str">
        <f ca="1">IF(K55,IF(M55=1,A55,joincells(OFFSET(A:A,L55-1,0,M55,1))),"")</f>
        <v/>
      </c>
      <c r="O55" t="str">
        <f t="shared" ca="1" si="1"/>
        <v/>
      </c>
      <c r="P55" t="str">
        <f t="shared" ca="1" si="2"/>
        <v/>
      </c>
    </row>
    <row r="56" spans="1:16" x14ac:dyDescent="0.4">
      <c r="A56" t="s">
        <v>133</v>
      </c>
      <c r="B56">
        <v>1</v>
      </c>
      <c r="C56" t="s">
        <v>124</v>
      </c>
      <c r="E56" t="s">
        <v>125</v>
      </c>
      <c r="K56" t="b">
        <f t="shared" si="0"/>
        <v>0</v>
      </c>
      <c r="L56">
        <f t="shared" si="3"/>
        <v>56</v>
      </c>
      <c r="M56">
        <f t="shared" si="4"/>
        <v>0</v>
      </c>
      <c r="N56" t="str">
        <f ca="1">IF(K56,IF(M56=1,A56,joincells(OFFSET(A:A,L56-1,0,M56,1))),"")</f>
        <v/>
      </c>
      <c r="O56" t="str">
        <f t="shared" ca="1" si="1"/>
        <v/>
      </c>
      <c r="P56" t="str">
        <f t="shared" ca="1" si="2"/>
        <v/>
      </c>
    </row>
    <row r="57" spans="1:16" x14ac:dyDescent="0.4">
      <c r="A57" t="s">
        <v>134</v>
      </c>
      <c r="B57">
        <v>1</v>
      </c>
      <c r="C57" t="s">
        <v>124</v>
      </c>
      <c r="E57" t="s">
        <v>125</v>
      </c>
      <c r="K57" t="b">
        <f t="shared" si="0"/>
        <v>0</v>
      </c>
      <c r="L57">
        <f t="shared" si="3"/>
        <v>57</v>
      </c>
      <c r="M57">
        <f t="shared" si="4"/>
        <v>0</v>
      </c>
      <c r="N57" t="str">
        <f ca="1">IF(K57,IF(M57=1,A57,joincells(OFFSET(A:A,L57-1,0,M57,1))),"")</f>
        <v/>
      </c>
      <c r="O57" t="str">
        <f t="shared" ca="1" si="1"/>
        <v/>
      </c>
      <c r="P57" t="str">
        <f t="shared" ca="1" si="2"/>
        <v/>
      </c>
    </row>
    <row r="58" spans="1:16" x14ac:dyDescent="0.4">
      <c r="A58" t="s">
        <v>149</v>
      </c>
      <c r="B58">
        <v>1</v>
      </c>
      <c r="C58" t="s">
        <v>124</v>
      </c>
      <c r="E58" t="s">
        <v>125</v>
      </c>
      <c r="K58" t="b">
        <f t="shared" si="0"/>
        <v>0</v>
      </c>
      <c r="L58">
        <f t="shared" si="3"/>
        <v>58</v>
      </c>
      <c r="M58">
        <f t="shared" si="4"/>
        <v>0</v>
      </c>
      <c r="N58" t="str">
        <f ca="1">IF(K58,IF(M58=1,A58,joincells(OFFSET(A:A,L58-1,0,M58,1))),"")</f>
        <v/>
      </c>
      <c r="O58" t="str">
        <f t="shared" ca="1" si="1"/>
        <v/>
      </c>
      <c r="P58" t="str">
        <f t="shared" ca="1" si="2"/>
        <v/>
      </c>
    </row>
    <row r="59" spans="1:16" x14ac:dyDescent="0.4">
      <c r="A59" t="s">
        <v>150</v>
      </c>
      <c r="B59">
        <v>1</v>
      </c>
      <c r="C59" t="s">
        <v>124</v>
      </c>
      <c r="E59" t="s">
        <v>125</v>
      </c>
      <c r="K59" t="b">
        <f t="shared" si="0"/>
        <v>0</v>
      </c>
      <c r="L59">
        <f t="shared" si="3"/>
        <v>59</v>
      </c>
      <c r="M59">
        <f t="shared" si="4"/>
        <v>0</v>
      </c>
      <c r="N59" t="str">
        <f ca="1">IF(K59,IF(M59=1,A59,joincells(OFFSET(A:A,L59-1,0,M59,1))),"")</f>
        <v/>
      </c>
      <c r="O59" t="str">
        <f t="shared" ca="1" si="1"/>
        <v/>
      </c>
      <c r="P59" t="str">
        <f t="shared" ca="1" si="2"/>
        <v/>
      </c>
    </row>
    <row r="60" spans="1:16" x14ac:dyDescent="0.4">
      <c r="A60" t="s">
        <v>151</v>
      </c>
      <c r="B60">
        <v>1</v>
      </c>
      <c r="C60" t="s">
        <v>124</v>
      </c>
      <c r="E60" t="s">
        <v>125</v>
      </c>
      <c r="K60" t="b">
        <f t="shared" si="0"/>
        <v>0</v>
      </c>
      <c r="L60">
        <f t="shared" si="3"/>
        <v>60</v>
      </c>
      <c r="M60">
        <f t="shared" si="4"/>
        <v>0</v>
      </c>
      <c r="N60" t="str">
        <f ca="1">IF(K60,IF(M60=1,A60,joincells(OFFSET(A:A,L60-1,0,M60,1))),"")</f>
        <v/>
      </c>
      <c r="O60" t="str">
        <f t="shared" ca="1" si="1"/>
        <v/>
      </c>
      <c r="P60" t="str">
        <f t="shared" ca="1" si="2"/>
        <v/>
      </c>
    </row>
    <row r="61" spans="1:16" x14ac:dyDescent="0.4">
      <c r="A61" t="s">
        <v>123</v>
      </c>
      <c r="B61">
        <v>1</v>
      </c>
      <c r="C61" t="s">
        <v>124</v>
      </c>
      <c r="E61" t="s">
        <v>125</v>
      </c>
      <c r="K61" t="b">
        <f t="shared" si="0"/>
        <v>0</v>
      </c>
      <c r="L61">
        <f t="shared" si="3"/>
        <v>61</v>
      </c>
      <c r="M61">
        <f t="shared" si="4"/>
        <v>0</v>
      </c>
      <c r="N61" t="str">
        <f ca="1">IF(K61,IF(M61=1,A61,joincells(OFFSET(A:A,L61-1,0,M61,1))),"")</f>
        <v/>
      </c>
      <c r="O61" t="str">
        <f t="shared" ca="1" si="1"/>
        <v/>
      </c>
      <c r="P61" t="str">
        <f t="shared" ca="1" si="2"/>
        <v/>
      </c>
    </row>
    <row r="62" spans="1:16" x14ac:dyDescent="0.4">
      <c r="A62" t="s">
        <v>126</v>
      </c>
      <c r="B62">
        <v>1</v>
      </c>
      <c r="C62" t="s">
        <v>124</v>
      </c>
      <c r="E62" t="s">
        <v>125</v>
      </c>
      <c r="K62" t="b">
        <f t="shared" si="0"/>
        <v>0</v>
      </c>
      <c r="L62">
        <f t="shared" si="3"/>
        <v>62</v>
      </c>
      <c r="M62">
        <f t="shared" si="4"/>
        <v>0</v>
      </c>
      <c r="N62" t="str">
        <f ca="1">IF(K62,IF(M62=1,A62,joincells(OFFSET(A:A,L62-1,0,M62,1))),"")</f>
        <v/>
      </c>
      <c r="O62" t="str">
        <f t="shared" ca="1" si="1"/>
        <v/>
      </c>
      <c r="P62" t="str">
        <f t="shared" ca="1" si="2"/>
        <v/>
      </c>
    </row>
    <row r="63" spans="1:16" x14ac:dyDescent="0.4">
      <c r="A63" t="s">
        <v>127</v>
      </c>
      <c r="B63">
        <v>1</v>
      </c>
      <c r="C63" t="s">
        <v>124</v>
      </c>
      <c r="E63" t="s">
        <v>125</v>
      </c>
      <c r="K63" t="b">
        <f t="shared" si="0"/>
        <v>0</v>
      </c>
      <c r="L63">
        <f t="shared" si="3"/>
        <v>63</v>
      </c>
      <c r="M63">
        <f t="shared" si="4"/>
        <v>0</v>
      </c>
      <c r="N63" t="str">
        <f ca="1">IF(K63,IF(M63=1,A63,joincells(OFFSET(A:A,L63-1,0,M63,1))),"")</f>
        <v/>
      </c>
      <c r="O63" t="str">
        <f t="shared" ca="1" si="1"/>
        <v/>
      </c>
      <c r="P63" t="str">
        <f t="shared" ca="1" si="2"/>
        <v/>
      </c>
    </row>
    <row r="64" spans="1:16" x14ac:dyDescent="0.4">
      <c r="A64" t="s">
        <v>128</v>
      </c>
      <c r="B64">
        <v>1</v>
      </c>
      <c r="C64" t="s">
        <v>124</v>
      </c>
      <c r="E64" t="s">
        <v>125</v>
      </c>
      <c r="K64" t="b">
        <f t="shared" si="0"/>
        <v>0</v>
      </c>
      <c r="L64">
        <f t="shared" si="3"/>
        <v>64</v>
      </c>
      <c r="M64">
        <f t="shared" si="4"/>
        <v>0</v>
      </c>
      <c r="N64" t="str">
        <f ca="1">IF(K64,IF(M64=1,A64,joincells(OFFSET(A:A,L64-1,0,M64,1))),"")</f>
        <v/>
      </c>
      <c r="O64" t="str">
        <f t="shared" ca="1" si="1"/>
        <v/>
      </c>
      <c r="P64" t="str">
        <f t="shared" ca="1" si="2"/>
        <v/>
      </c>
    </row>
    <row r="65" spans="1:16" x14ac:dyDescent="0.4">
      <c r="A65" t="s">
        <v>129</v>
      </c>
      <c r="B65">
        <v>1</v>
      </c>
      <c r="C65" t="s">
        <v>124</v>
      </c>
      <c r="E65" t="s">
        <v>125</v>
      </c>
      <c r="K65" t="b">
        <f t="shared" si="0"/>
        <v>0</v>
      </c>
      <c r="L65">
        <f t="shared" si="3"/>
        <v>65</v>
      </c>
      <c r="M65">
        <f t="shared" si="4"/>
        <v>0</v>
      </c>
      <c r="N65" t="str">
        <f ca="1">IF(K65,IF(M65=1,A65,joincells(OFFSET(A:A,L65-1,0,M65,1))),"")</f>
        <v/>
      </c>
      <c r="O65" t="str">
        <f t="shared" ca="1" si="1"/>
        <v/>
      </c>
      <c r="P65" t="str">
        <f t="shared" ca="1" si="2"/>
        <v/>
      </c>
    </row>
    <row r="66" spans="1:16" x14ac:dyDescent="0.4">
      <c r="A66" t="s">
        <v>130</v>
      </c>
      <c r="B66">
        <v>1</v>
      </c>
      <c r="C66" t="s">
        <v>124</v>
      </c>
      <c r="E66" t="s">
        <v>125</v>
      </c>
      <c r="K66" t="b">
        <f t="shared" si="0"/>
        <v>0</v>
      </c>
      <c r="L66">
        <f t="shared" si="3"/>
        <v>66</v>
      </c>
      <c r="M66">
        <f t="shared" si="4"/>
        <v>0</v>
      </c>
      <c r="N66" t="str">
        <f ca="1">IF(K66,IF(M66=1,A66,joincells(OFFSET(A:A,L66-1,0,M66,1))),"")</f>
        <v/>
      </c>
      <c r="O66" t="str">
        <f t="shared" ca="1" si="1"/>
        <v/>
      </c>
      <c r="P66" t="str">
        <f t="shared" ca="1" si="2"/>
        <v/>
      </c>
    </row>
    <row r="67" spans="1:16" x14ac:dyDescent="0.4">
      <c r="A67" t="s">
        <v>131</v>
      </c>
      <c r="B67">
        <v>1</v>
      </c>
      <c r="C67" t="s">
        <v>124</v>
      </c>
      <c r="E67" t="s">
        <v>125</v>
      </c>
      <c r="K67" t="b">
        <f t="shared" ref="K67:K83" si="5">AND(G67&lt;&gt;"",G67&lt;&gt;G66)</f>
        <v>0</v>
      </c>
      <c r="L67">
        <f t="shared" si="3"/>
        <v>67</v>
      </c>
      <c r="M67">
        <f t="shared" si="4"/>
        <v>0</v>
      </c>
      <c r="N67" t="str">
        <f ca="1">IF(K67,IF(M67=1,A67,joincells(OFFSET(A:A,L67-1,0,M67,1))),"")</f>
        <v/>
      </c>
      <c r="O67" t="str">
        <f t="shared" ref="O67:O98" ca="1" si="6">IF(N67&lt;&gt;"",G67,"")</f>
        <v/>
      </c>
      <c r="P67" t="str">
        <f t="shared" ref="P67:P98" ca="1" si="7">IF(N67&lt;&gt;"",M67,"")</f>
        <v/>
      </c>
    </row>
    <row r="68" spans="1:16" x14ac:dyDescent="0.4">
      <c r="A68" t="s">
        <v>132</v>
      </c>
      <c r="B68">
        <v>1</v>
      </c>
      <c r="C68" t="s">
        <v>124</v>
      </c>
      <c r="E68" t="s">
        <v>125</v>
      </c>
      <c r="K68" t="b">
        <f t="shared" si="5"/>
        <v>0</v>
      </c>
      <c r="L68">
        <f t="shared" si="3"/>
        <v>68</v>
      </c>
      <c r="M68">
        <f t="shared" si="4"/>
        <v>0</v>
      </c>
      <c r="N68" t="str">
        <f ca="1">IF(K68,IF(M68=1,A68,joincells(OFFSET(A:A,L68-1,0,M68,1))),"")</f>
        <v/>
      </c>
      <c r="O68" t="str">
        <f t="shared" ca="1" si="6"/>
        <v/>
      </c>
      <c r="P68" t="str">
        <f t="shared" ca="1" si="7"/>
        <v/>
      </c>
    </row>
    <row r="69" spans="1:16" x14ac:dyDescent="0.4">
      <c r="A69" t="s">
        <v>148</v>
      </c>
      <c r="B69">
        <v>1</v>
      </c>
      <c r="C69" t="s">
        <v>124</v>
      </c>
      <c r="E69" t="s">
        <v>125</v>
      </c>
      <c r="K69" t="b">
        <f t="shared" si="5"/>
        <v>0</v>
      </c>
      <c r="L69">
        <f t="shared" si="3"/>
        <v>69</v>
      </c>
      <c r="M69">
        <f t="shared" si="4"/>
        <v>0</v>
      </c>
      <c r="N69" t="str">
        <f ca="1">IF(K69,IF(M69=1,A69,joincells(OFFSET(A:A,L69-1,0,M69,1))),"")</f>
        <v/>
      </c>
      <c r="O69" t="str">
        <f t="shared" ca="1" si="6"/>
        <v/>
      </c>
      <c r="P69" t="str">
        <f t="shared" ca="1" si="7"/>
        <v/>
      </c>
    </row>
    <row r="70" spans="1:16" x14ac:dyDescent="0.4">
      <c r="A70" t="s">
        <v>112</v>
      </c>
      <c r="B70">
        <v>1</v>
      </c>
      <c r="C70" t="s">
        <v>154</v>
      </c>
      <c r="E70" t="s">
        <v>34</v>
      </c>
      <c r="K70" t="b">
        <f t="shared" si="5"/>
        <v>0</v>
      </c>
      <c r="L70">
        <f t="shared" ref="L70:L83" si="8">ROW(G70)</f>
        <v>70</v>
      </c>
      <c r="M70">
        <f t="shared" ref="M70:M83" si="9">COUNTIF(G:G,G70)</f>
        <v>0</v>
      </c>
      <c r="N70" t="str">
        <f ca="1">IF(K70,IF(M70=1,A70,joincells(OFFSET(A:A,L70-1,0,M70,1))),"")</f>
        <v/>
      </c>
      <c r="O70" t="str">
        <f t="shared" ca="1" si="6"/>
        <v/>
      </c>
      <c r="P70" t="str">
        <f t="shared" ca="1" si="7"/>
        <v/>
      </c>
    </row>
    <row r="71" spans="1:16" x14ac:dyDescent="0.4">
      <c r="A71" t="s">
        <v>113</v>
      </c>
      <c r="B71">
        <v>1</v>
      </c>
      <c r="C71" t="s">
        <v>154</v>
      </c>
      <c r="E71" t="s">
        <v>34</v>
      </c>
      <c r="K71" t="b">
        <f t="shared" si="5"/>
        <v>0</v>
      </c>
      <c r="L71">
        <f t="shared" si="8"/>
        <v>71</v>
      </c>
      <c r="M71">
        <f t="shared" si="9"/>
        <v>0</v>
      </c>
      <c r="N71" t="str">
        <f ca="1">IF(K71,IF(M71=1,A71,joincells(OFFSET(A:A,L71-1,0,M71,1))),"")</f>
        <v/>
      </c>
      <c r="O71" t="str">
        <f t="shared" ca="1" si="6"/>
        <v/>
      </c>
      <c r="P71" t="str">
        <f t="shared" ca="1" si="7"/>
        <v/>
      </c>
    </row>
    <row r="72" spans="1:16" x14ac:dyDescent="0.4">
      <c r="A72" t="s">
        <v>135</v>
      </c>
      <c r="B72">
        <v>1</v>
      </c>
      <c r="C72" t="s">
        <v>124</v>
      </c>
      <c r="E72" t="s">
        <v>125</v>
      </c>
      <c r="K72" t="b">
        <f t="shared" si="5"/>
        <v>0</v>
      </c>
      <c r="L72">
        <f t="shared" si="8"/>
        <v>72</v>
      </c>
      <c r="M72">
        <f t="shared" si="9"/>
        <v>0</v>
      </c>
      <c r="N72" t="str">
        <f ca="1">IF(K72,IF(M72=1,A72,joincells(OFFSET(A:A,L72-1,0,M72,1))),"")</f>
        <v/>
      </c>
      <c r="O72" t="str">
        <f t="shared" ca="1" si="6"/>
        <v/>
      </c>
      <c r="P72" t="str">
        <f t="shared" ca="1" si="7"/>
        <v/>
      </c>
    </row>
    <row r="73" spans="1:16" x14ac:dyDescent="0.4">
      <c r="A73" t="s">
        <v>136</v>
      </c>
      <c r="B73">
        <v>1</v>
      </c>
      <c r="C73" t="s">
        <v>124</v>
      </c>
      <c r="E73" t="s">
        <v>125</v>
      </c>
      <c r="K73" t="b">
        <f t="shared" si="5"/>
        <v>0</v>
      </c>
      <c r="L73">
        <f t="shared" si="8"/>
        <v>73</v>
      </c>
      <c r="M73">
        <f t="shared" si="9"/>
        <v>0</v>
      </c>
      <c r="N73" t="str">
        <f ca="1">IF(K73,IF(M73=1,A73,joincells(OFFSET(A:A,L73-1,0,M73,1))),"")</f>
        <v/>
      </c>
      <c r="O73" t="str">
        <f t="shared" ca="1" si="6"/>
        <v/>
      </c>
      <c r="P73" t="str">
        <f t="shared" ca="1" si="7"/>
        <v/>
      </c>
    </row>
    <row r="74" spans="1:16" x14ac:dyDescent="0.4">
      <c r="A74" t="s">
        <v>137</v>
      </c>
      <c r="B74">
        <v>1</v>
      </c>
      <c r="C74" t="s">
        <v>124</v>
      </c>
      <c r="E74" t="s">
        <v>125</v>
      </c>
      <c r="K74" t="b">
        <f t="shared" si="5"/>
        <v>0</v>
      </c>
      <c r="L74">
        <f t="shared" si="8"/>
        <v>74</v>
      </c>
      <c r="M74">
        <f t="shared" si="9"/>
        <v>0</v>
      </c>
      <c r="N74" t="str">
        <f ca="1">IF(K74,IF(M74=1,A74,joincells(OFFSET(A:A,L74-1,0,M74,1))),"")</f>
        <v/>
      </c>
      <c r="O74" t="str">
        <f t="shared" ca="1" si="6"/>
        <v/>
      </c>
      <c r="P74" t="str">
        <f t="shared" ca="1" si="7"/>
        <v/>
      </c>
    </row>
    <row r="75" spans="1:16" x14ac:dyDescent="0.4">
      <c r="A75" t="s">
        <v>138</v>
      </c>
      <c r="B75">
        <v>1</v>
      </c>
      <c r="C75" t="s">
        <v>124</v>
      </c>
      <c r="E75" t="s">
        <v>125</v>
      </c>
      <c r="K75" t="b">
        <f t="shared" si="5"/>
        <v>0</v>
      </c>
      <c r="L75">
        <f t="shared" si="8"/>
        <v>75</v>
      </c>
      <c r="M75">
        <f t="shared" si="9"/>
        <v>0</v>
      </c>
      <c r="N75" t="str">
        <f ca="1">IF(K75,IF(M75=1,A75,joincells(OFFSET(A:A,L75-1,0,M75,1))),"")</f>
        <v/>
      </c>
      <c r="O75" t="str">
        <f t="shared" ca="1" si="6"/>
        <v/>
      </c>
      <c r="P75" t="str">
        <f t="shared" ca="1" si="7"/>
        <v/>
      </c>
    </row>
    <row r="76" spans="1:16" x14ac:dyDescent="0.4">
      <c r="A76" t="s">
        <v>139</v>
      </c>
      <c r="B76">
        <v>1</v>
      </c>
      <c r="C76" t="s">
        <v>124</v>
      </c>
      <c r="E76" t="s">
        <v>125</v>
      </c>
      <c r="K76" t="b">
        <f t="shared" si="5"/>
        <v>0</v>
      </c>
      <c r="L76">
        <f t="shared" si="8"/>
        <v>76</v>
      </c>
      <c r="M76">
        <f t="shared" si="9"/>
        <v>0</v>
      </c>
      <c r="N76" t="str">
        <f ca="1">IF(K76,IF(M76=1,A76,joincells(OFFSET(A:A,L76-1,0,M76,1))),"")</f>
        <v/>
      </c>
      <c r="O76" t="str">
        <f t="shared" ca="1" si="6"/>
        <v/>
      </c>
      <c r="P76" t="str">
        <f t="shared" ca="1" si="7"/>
        <v/>
      </c>
    </row>
    <row r="77" spans="1:16" x14ac:dyDescent="0.4">
      <c r="A77" t="s">
        <v>140</v>
      </c>
      <c r="B77">
        <v>1</v>
      </c>
      <c r="C77" t="s">
        <v>124</v>
      </c>
      <c r="E77" t="s">
        <v>125</v>
      </c>
      <c r="K77" t="b">
        <f t="shared" si="5"/>
        <v>0</v>
      </c>
      <c r="L77">
        <f t="shared" si="8"/>
        <v>77</v>
      </c>
      <c r="M77">
        <f t="shared" si="9"/>
        <v>0</v>
      </c>
      <c r="N77" t="str">
        <f ca="1">IF(K77,IF(M77=1,A77,joincells(OFFSET(A:A,L77-1,0,M77,1))),"")</f>
        <v/>
      </c>
      <c r="O77" t="str">
        <f t="shared" ca="1" si="6"/>
        <v/>
      </c>
      <c r="P77" t="str">
        <f t="shared" ca="1" si="7"/>
        <v/>
      </c>
    </row>
    <row r="78" spans="1:16" x14ac:dyDescent="0.4">
      <c r="A78" t="s">
        <v>141</v>
      </c>
      <c r="B78">
        <v>1</v>
      </c>
      <c r="C78" t="s">
        <v>124</v>
      </c>
      <c r="E78" t="s">
        <v>125</v>
      </c>
      <c r="K78" t="b">
        <f t="shared" si="5"/>
        <v>0</v>
      </c>
      <c r="L78">
        <f t="shared" si="8"/>
        <v>78</v>
      </c>
      <c r="M78">
        <f t="shared" si="9"/>
        <v>0</v>
      </c>
      <c r="N78" t="str">
        <f ca="1">IF(K78,IF(M78=1,A78,joincells(OFFSET(A:A,L78-1,0,M78,1))),"")</f>
        <v/>
      </c>
      <c r="O78" t="str">
        <f t="shared" ca="1" si="6"/>
        <v/>
      </c>
      <c r="P78" t="str">
        <f t="shared" ca="1" si="7"/>
        <v/>
      </c>
    </row>
    <row r="79" spans="1:16" x14ac:dyDescent="0.4">
      <c r="A79" t="s">
        <v>142</v>
      </c>
      <c r="B79">
        <v>1</v>
      </c>
      <c r="C79" t="s">
        <v>124</v>
      </c>
      <c r="E79" t="s">
        <v>125</v>
      </c>
      <c r="K79" t="b">
        <f t="shared" si="5"/>
        <v>0</v>
      </c>
      <c r="L79">
        <f t="shared" si="8"/>
        <v>79</v>
      </c>
      <c r="M79">
        <f t="shared" si="9"/>
        <v>0</v>
      </c>
      <c r="N79" t="str">
        <f ca="1">IF(K79,IF(M79=1,A79,joincells(OFFSET(A:A,L79-1,0,M79,1))),"")</f>
        <v/>
      </c>
      <c r="O79" t="str">
        <f t="shared" ca="1" si="6"/>
        <v/>
      </c>
      <c r="P79" t="str">
        <f t="shared" ca="1" si="7"/>
        <v/>
      </c>
    </row>
    <row r="80" spans="1:16" x14ac:dyDescent="0.4">
      <c r="A80" t="s">
        <v>147</v>
      </c>
      <c r="B80">
        <v>1</v>
      </c>
      <c r="C80" t="s">
        <v>124</v>
      </c>
      <c r="E80" t="s">
        <v>125</v>
      </c>
      <c r="K80" t="b">
        <f t="shared" si="5"/>
        <v>0</v>
      </c>
      <c r="L80">
        <f t="shared" si="8"/>
        <v>80</v>
      </c>
      <c r="M80">
        <f t="shared" si="9"/>
        <v>0</v>
      </c>
      <c r="N80" t="str">
        <f ca="1">IF(K80,IF(M80=1,A80,joincells(OFFSET(A:A,L80-1,0,M80,1))),"")</f>
        <v/>
      </c>
      <c r="O80" t="str">
        <f t="shared" ca="1" si="6"/>
        <v/>
      </c>
      <c r="P80" t="str">
        <f t="shared" ca="1" si="7"/>
        <v/>
      </c>
    </row>
    <row r="81" spans="1:16" x14ac:dyDescent="0.4">
      <c r="A81" t="s">
        <v>143</v>
      </c>
      <c r="B81">
        <v>1</v>
      </c>
      <c r="C81" t="s">
        <v>124</v>
      </c>
      <c r="E81" t="s">
        <v>125</v>
      </c>
      <c r="K81" t="b">
        <f t="shared" si="5"/>
        <v>0</v>
      </c>
      <c r="L81">
        <f t="shared" si="8"/>
        <v>81</v>
      </c>
      <c r="M81">
        <f t="shared" si="9"/>
        <v>0</v>
      </c>
      <c r="N81" t="str">
        <f ca="1">IF(K81,IF(M81=1,A81,joincells(OFFSET(A:A,L81-1,0,M81,1))),"")</f>
        <v/>
      </c>
      <c r="O81" t="str">
        <f t="shared" ca="1" si="6"/>
        <v/>
      </c>
      <c r="P81" t="str">
        <f t="shared" ca="1" si="7"/>
        <v/>
      </c>
    </row>
    <row r="82" spans="1:16" x14ac:dyDescent="0.4">
      <c r="A82" t="s">
        <v>144</v>
      </c>
      <c r="B82">
        <v>1</v>
      </c>
      <c r="C82" t="s">
        <v>124</v>
      </c>
      <c r="E82" t="s">
        <v>125</v>
      </c>
      <c r="K82" t="b">
        <f t="shared" si="5"/>
        <v>0</v>
      </c>
      <c r="L82">
        <f t="shared" si="8"/>
        <v>82</v>
      </c>
      <c r="M82">
        <f t="shared" si="9"/>
        <v>0</v>
      </c>
      <c r="N82" t="str">
        <f ca="1">IF(K82,IF(M82=1,A82,joincells(OFFSET(A:A,L82-1,0,M82,1))),"")</f>
        <v/>
      </c>
      <c r="O82" t="str">
        <f t="shared" ca="1" si="6"/>
        <v/>
      </c>
      <c r="P82" t="str">
        <f t="shared" ca="1" si="7"/>
        <v/>
      </c>
    </row>
    <row r="83" spans="1:16" x14ac:dyDescent="0.4">
      <c r="A83" t="s">
        <v>145</v>
      </c>
      <c r="B83">
        <v>1</v>
      </c>
      <c r="C83" t="s">
        <v>124</v>
      </c>
      <c r="E83" t="s">
        <v>125</v>
      </c>
      <c r="K83" t="b">
        <f t="shared" si="5"/>
        <v>0</v>
      </c>
      <c r="L83">
        <f t="shared" si="8"/>
        <v>83</v>
      </c>
      <c r="M83">
        <f t="shared" si="9"/>
        <v>0</v>
      </c>
      <c r="N83" t="str">
        <f ca="1">IF(K83,IF(M83=1,A83,joincells(OFFSET(A:A,L83-1,0,M83,1))),"")</f>
        <v/>
      </c>
      <c r="O83" t="str">
        <f t="shared" ca="1" si="6"/>
        <v/>
      </c>
      <c r="P83" t="str">
        <f t="shared" ca="1" si="7"/>
        <v/>
      </c>
    </row>
    <row r="84" spans="1:16" x14ac:dyDescent="0.4">
      <c r="A84" t="s">
        <v>146</v>
      </c>
      <c r="B84">
        <v>1</v>
      </c>
      <c r="C84" t="s">
        <v>124</v>
      </c>
      <c r="E84" t="s">
        <v>125</v>
      </c>
      <c r="K84" t="b">
        <f t="shared" ref="K84:K98" si="10">AND(G84&lt;&gt;"",G84&lt;&gt;G83)</f>
        <v>0</v>
      </c>
      <c r="L84">
        <f t="shared" ref="L84:L98" si="11">ROW(G84)</f>
        <v>84</v>
      </c>
      <c r="M84">
        <f t="shared" ref="M84:M98" si="12">COUNTIF(G:G,G84)</f>
        <v>0</v>
      </c>
      <c r="N84" t="str">
        <f ca="1">IF(K84,IF(M84=1,A84,joincells(OFFSET(A:A,L84-1,0,M84,1))),"")</f>
        <v/>
      </c>
      <c r="O84" t="str">
        <f t="shared" ca="1" si="6"/>
        <v/>
      </c>
      <c r="P84" t="str">
        <f t="shared" ca="1" si="7"/>
        <v/>
      </c>
    </row>
    <row r="85" spans="1:16" x14ac:dyDescent="0.4">
      <c r="A85" t="s">
        <v>38</v>
      </c>
      <c r="B85">
        <v>1</v>
      </c>
      <c r="C85" t="s">
        <v>166</v>
      </c>
      <c r="E85" t="s">
        <v>125</v>
      </c>
      <c r="J85" t="s">
        <v>167</v>
      </c>
      <c r="K85" t="b">
        <f t="shared" si="10"/>
        <v>0</v>
      </c>
      <c r="L85">
        <f t="shared" si="11"/>
        <v>85</v>
      </c>
      <c r="M85">
        <f t="shared" si="12"/>
        <v>0</v>
      </c>
      <c r="N85" t="str">
        <f ca="1">IF(K85,IF(M85=1,A85,joincells(OFFSET(A:A,L85-1,0,M85,1))),"")</f>
        <v/>
      </c>
      <c r="O85" t="str">
        <f t="shared" ca="1" si="6"/>
        <v/>
      </c>
      <c r="P85" t="str">
        <f t="shared" ca="1" si="7"/>
        <v/>
      </c>
    </row>
    <row r="86" spans="1:16" x14ac:dyDescent="0.4">
      <c r="A86" t="s">
        <v>175</v>
      </c>
      <c r="B86">
        <v>1</v>
      </c>
      <c r="C86" t="s">
        <v>166</v>
      </c>
      <c r="E86" t="s">
        <v>125</v>
      </c>
      <c r="J86" t="s">
        <v>167</v>
      </c>
      <c r="K86" t="b">
        <f t="shared" si="10"/>
        <v>0</v>
      </c>
      <c r="L86">
        <f t="shared" si="11"/>
        <v>86</v>
      </c>
      <c r="M86">
        <f t="shared" si="12"/>
        <v>0</v>
      </c>
      <c r="N86" t="str">
        <f ca="1">IF(K86,IF(M86=1,A86,joincells(OFFSET(A:A,L86-1,0,M86,1))),"")</f>
        <v/>
      </c>
      <c r="O86" t="str">
        <f t="shared" ca="1" si="6"/>
        <v/>
      </c>
      <c r="P86" t="str">
        <f t="shared" ca="1" si="7"/>
        <v/>
      </c>
    </row>
    <row r="87" spans="1:16" x14ac:dyDescent="0.4">
      <c r="A87" t="s">
        <v>174</v>
      </c>
      <c r="B87">
        <v>1</v>
      </c>
      <c r="C87" t="s">
        <v>166</v>
      </c>
      <c r="E87" t="s">
        <v>125</v>
      </c>
      <c r="J87" t="s">
        <v>167</v>
      </c>
      <c r="K87" t="b">
        <f t="shared" si="10"/>
        <v>0</v>
      </c>
      <c r="L87">
        <f t="shared" si="11"/>
        <v>87</v>
      </c>
      <c r="M87">
        <f t="shared" si="12"/>
        <v>0</v>
      </c>
      <c r="N87" t="str">
        <f ca="1">IF(K87,IF(M87=1,A87,joincells(OFFSET(A:A,L87-1,0,M87,1))),"")</f>
        <v/>
      </c>
      <c r="O87" t="str">
        <f t="shared" ca="1" si="6"/>
        <v/>
      </c>
      <c r="P87" t="str">
        <f t="shared" ca="1" si="7"/>
        <v/>
      </c>
    </row>
    <row r="88" spans="1:16" x14ac:dyDescent="0.4">
      <c r="A88" t="s">
        <v>176</v>
      </c>
      <c r="B88">
        <v>1</v>
      </c>
      <c r="C88" t="s">
        <v>166</v>
      </c>
      <c r="E88" t="s">
        <v>125</v>
      </c>
      <c r="J88" t="s">
        <v>167</v>
      </c>
      <c r="K88" t="b">
        <f t="shared" si="10"/>
        <v>0</v>
      </c>
      <c r="L88">
        <f t="shared" si="11"/>
        <v>88</v>
      </c>
      <c r="M88">
        <f t="shared" si="12"/>
        <v>0</v>
      </c>
      <c r="N88" t="str">
        <f ca="1">IF(K88,IF(M88=1,A88,joincells(OFFSET(A:A,L88-1,0,M88,1))),"")</f>
        <v/>
      </c>
      <c r="O88" t="str">
        <f t="shared" ca="1" si="6"/>
        <v/>
      </c>
      <c r="P88" t="str">
        <f t="shared" ca="1" si="7"/>
        <v/>
      </c>
    </row>
    <row r="89" spans="1:16" x14ac:dyDescent="0.4">
      <c r="A89" t="s">
        <v>42</v>
      </c>
      <c r="B89">
        <v>1</v>
      </c>
      <c r="C89" t="s">
        <v>166</v>
      </c>
      <c r="E89" t="s">
        <v>125</v>
      </c>
      <c r="J89" t="s">
        <v>167</v>
      </c>
      <c r="K89" t="b">
        <f t="shared" si="10"/>
        <v>0</v>
      </c>
      <c r="L89">
        <f t="shared" si="11"/>
        <v>89</v>
      </c>
      <c r="M89">
        <f t="shared" si="12"/>
        <v>0</v>
      </c>
      <c r="N89" t="str">
        <f ca="1">IF(K89,IF(M89=1,A89,joincells(OFFSET(A:A,L89-1,0,M89,1))),"")</f>
        <v/>
      </c>
      <c r="O89" t="str">
        <f t="shared" ca="1" si="6"/>
        <v/>
      </c>
      <c r="P89" t="str">
        <f t="shared" ca="1" si="7"/>
        <v/>
      </c>
    </row>
    <row r="90" spans="1:16" x14ac:dyDescent="0.4">
      <c r="A90" t="s">
        <v>169</v>
      </c>
      <c r="B90">
        <v>1</v>
      </c>
      <c r="C90" t="s">
        <v>166</v>
      </c>
      <c r="E90" t="s">
        <v>125</v>
      </c>
      <c r="J90" t="s">
        <v>167</v>
      </c>
      <c r="K90" t="b">
        <f t="shared" si="10"/>
        <v>0</v>
      </c>
      <c r="L90">
        <f t="shared" si="11"/>
        <v>90</v>
      </c>
      <c r="M90">
        <f t="shared" si="12"/>
        <v>0</v>
      </c>
      <c r="N90" t="str">
        <f ca="1">IF(K90,IF(M90=1,A90,joincells(OFFSET(A:A,L90-1,0,M90,1))),"")</f>
        <v/>
      </c>
      <c r="O90" t="str">
        <f t="shared" ca="1" si="6"/>
        <v/>
      </c>
      <c r="P90" t="str">
        <f t="shared" ca="1" si="7"/>
        <v/>
      </c>
    </row>
    <row r="91" spans="1:16" x14ac:dyDescent="0.4">
      <c r="A91" t="s">
        <v>168</v>
      </c>
      <c r="B91">
        <v>1</v>
      </c>
      <c r="C91" t="s">
        <v>166</v>
      </c>
      <c r="E91" t="s">
        <v>125</v>
      </c>
      <c r="J91" t="s">
        <v>167</v>
      </c>
      <c r="K91" t="b">
        <f t="shared" si="10"/>
        <v>0</v>
      </c>
      <c r="L91">
        <f t="shared" si="11"/>
        <v>91</v>
      </c>
      <c r="M91">
        <f t="shared" si="12"/>
        <v>0</v>
      </c>
      <c r="N91" t="str">
        <f ca="1">IF(K91,IF(M91=1,A91,joincells(OFFSET(A:A,L91-1,0,M91,1))),"")</f>
        <v/>
      </c>
      <c r="O91" t="str">
        <f t="shared" ca="1" si="6"/>
        <v/>
      </c>
      <c r="P91" t="str">
        <f t="shared" ca="1" si="7"/>
        <v/>
      </c>
    </row>
    <row r="92" spans="1:16" x14ac:dyDescent="0.4">
      <c r="A92" t="s">
        <v>170</v>
      </c>
      <c r="B92">
        <v>1</v>
      </c>
      <c r="C92" t="s">
        <v>166</v>
      </c>
      <c r="E92" t="s">
        <v>125</v>
      </c>
      <c r="J92" t="s">
        <v>167</v>
      </c>
      <c r="K92" t="b">
        <f t="shared" si="10"/>
        <v>0</v>
      </c>
      <c r="L92">
        <f t="shared" si="11"/>
        <v>92</v>
      </c>
      <c r="M92">
        <f t="shared" si="12"/>
        <v>0</v>
      </c>
      <c r="N92" t="str">
        <f ca="1">IF(K92,IF(M92=1,A92,joincells(OFFSET(A:A,L92-1,0,M92,1))),"")</f>
        <v/>
      </c>
      <c r="O92" t="str">
        <f t="shared" ca="1" si="6"/>
        <v/>
      </c>
      <c r="P92" t="str">
        <f t="shared" ca="1" si="7"/>
        <v/>
      </c>
    </row>
    <row r="93" spans="1:16" x14ac:dyDescent="0.4">
      <c r="A93" t="s">
        <v>171</v>
      </c>
      <c r="B93">
        <v>1</v>
      </c>
      <c r="C93" t="s">
        <v>166</v>
      </c>
      <c r="E93" t="s">
        <v>125</v>
      </c>
      <c r="J93" t="s">
        <v>167</v>
      </c>
      <c r="K93" t="b">
        <f t="shared" si="10"/>
        <v>0</v>
      </c>
      <c r="L93">
        <f t="shared" si="11"/>
        <v>93</v>
      </c>
      <c r="M93">
        <f t="shared" si="12"/>
        <v>0</v>
      </c>
      <c r="N93" t="str">
        <f ca="1">IF(K93,IF(M93=1,A93,joincells(OFFSET(A:A,L93-1,0,M93,1))),"")</f>
        <v/>
      </c>
      <c r="O93" t="str">
        <f t="shared" ca="1" si="6"/>
        <v/>
      </c>
      <c r="P93" t="str">
        <f t="shared" ca="1" si="7"/>
        <v/>
      </c>
    </row>
    <row r="94" spans="1:16" x14ac:dyDescent="0.4">
      <c r="A94" t="s">
        <v>172</v>
      </c>
      <c r="B94">
        <v>1</v>
      </c>
      <c r="C94" t="s">
        <v>166</v>
      </c>
      <c r="E94" t="s">
        <v>125</v>
      </c>
      <c r="J94" t="s">
        <v>167</v>
      </c>
      <c r="K94" t="b">
        <f t="shared" si="10"/>
        <v>0</v>
      </c>
      <c r="L94">
        <f t="shared" si="11"/>
        <v>94</v>
      </c>
      <c r="M94">
        <f t="shared" si="12"/>
        <v>0</v>
      </c>
      <c r="N94" t="str">
        <f ca="1">IF(K94,IF(M94=1,A94,joincells(OFFSET(A:A,L94-1,0,M94,1))),"")</f>
        <v/>
      </c>
      <c r="O94" t="str">
        <f t="shared" ca="1" si="6"/>
        <v/>
      </c>
      <c r="P94" t="str">
        <f t="shared" ca="1" si="7"/>
        <v/>
      </c>
    </row>
    <row r="95" spans="1:16" x14ac:dyDescent="0.4">
      <c r="A95" t="s">
        <v>173</v>
      </c>
      <c r="B95">
        <v>1</v>
      </c>
      <c r="C95" t="s">
        <v>166</v>
      </c>
      <c r="E95" t="s">
        <v>125</v>
      </c>
      <c r="J95" t="s">
        <v>167</v>
      </c>
      <c r="K95" t="b">
        <f t="shared" si="10"/>
        <v>0</v>
      </c>
      <c r="L95">
        <f t="shared" si="11"/>
        <v>95</v>
      </c>
      <c r="M95">
        <f t="shared" si="12"/>
        <v>0</v>
      </c>
      <c r="N95" t="str">
        <f ca="1">IF(K95,IF(M95=1,A95,joincells(OFFSET(A:A,L95-1,0,M95,1))),"")</f>
        <v/>
      </c>
      <c r="O95" t="str">
        <f t="shared" ca="1" si="6"/>
        <v/>
      </c>
      <c r="P95" t="str">
        <f t="shared" ca="1" si="7"/>
        <v/>
      </c>
    </row>
    <row r="96" spans="1:16" x14ac:dyDescent="0.4">
      <c r="A96" t="s">
        <v>156</v>
      </c>
      <c r="B96">
        <v>1</v>
      </c>
      <c r="C96" t="s">
        <v>39</v>
      </c>
      <c r="E96" t="s">
        <v>40</v>
      </c>
      <c r="J96" t="s">
        <v>41</v>
      </c>
      <c r="K96" t="b">
        <f t="shared" si="10"/>
        <v>0</v>
      </c>
      <c r="L96">
        <f t="shared" si="11"/>
        <v>96</v>
      </c>
      <c r="M96">
        <f t="shared" si="12"/>
        <v>0</v>
      </c>
      <c r="N96" t="str">
        <f ca="1">IF(K96,IF(M96=1,A96,joincells(OFFSET(A:A,L96-1,0,M96,1))),"")</f>
        <v/>
      </c>
      <c r="O96" t="str">
        <f t="shared" ca="1" si="6"/>
        <v/>
      </c>
      <c r="P96" t="str">
        <f t="shared" ca="1" si="7"/>
        <v/>
      </c>
    </row>
    <row r="97" spans="1:16" x14ac:dyDescent="0.4">
      <c r="A97" t="s">
        <v>152</v>
      </c>
      <c r="B97">
        <v>1</v>
      </c>
      <c r="C97" t="s">
        <v>124</v>
      </c>
      <c r="E97" t="s">
        <v>125</v>
      </c>
      <c r="K97" t="b">
        <f t="shared" si="10"/>
        <v>0</v>
      </c>
      <c r="L97">
        <f t="shared" si="11"/>
        <v>97</v>
      </c>
      <c r="M97">
        <f t="shared" si="12"/>
        <v>0</v>
      </c>
      <c r="N97" t="str">
        <f ca="1">IF(K97,IF(M97=1,A97,joincells(OFFSET(A:A,L97-1,0,M97,1))),"")</f>
        <v/>
      </c>
      <c r="O97" t="str">
        <f t="shared" ca="1" si="6"/>
        <v/>
      </c>
      <c r="P97" t="str">
        <f t="shared" ca="1" si="7"/>
        <v/>
      </c>
    </row>
    <row r="98" spans="1:16" x14ac:dyDescent="0.4">
      <c r="A98" t="s">
        <v>153</v>
      </c>
      <c r="B98">
        <v>1</v>
      </c>
      <c r="C98" t="s">
        <v>124</v>
      </c>
      <c r="E98" t="s">
        <v>125</v>
      </c>
      <c r="K98" t="b">
        <f t="shared" si="10"/>
        <v>0</v>
      </c>
      <c r="L98">
        <f t="shared" si="11"/>
        <v>98</v>
      </c>
      <c r="M98">
        <f t="shared" si="12"/>
        <v>0</v>
      </c>
      <c r="N98" t="str">
        <f ca="1">IF(K98,IF(M98=1,A98,joincells(OFFSET(A:A,L98-1,0,M98,1))),"")</f>
        <v/>
      </c>
      <c r="O98" t="str">
        <f t="shared" ca="1" si="6"/>
        <v/>
      </c>
      <c r="P98" t="str">
        <f t="shared" ca="1" si="7"/>
        <v/>
      </c>
    </row>
  </sheetData>
  <autoFilter ref="A1:J84" xr:uid="{00000000-0009-0000-0000-000000000000}">
    <sortState ref="A2:J98">
      <sortCondition ref="G1:G84"/>
    </sortState>
  </autoFilter>
  <phoneticPr fontId="2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18"/>
  <sheetViews>
    <sheetView tabSelected="1" zoomScale="85" zoomScaleNormal="85" workbookViewId="0">
      <selection activeCell="B15" sqref="B15"/>
    </sheetView>
  </sheetViews>
  <sheetFormatPr defaultRowHeight="19.5" x14ac:dyDescent="0.4"/>
  <cols>
    <col min="1" max="1" width="69.21875" bestFit="1" customWidth="1"/>
    <col min="2" max="2" width="24.21875" bestFit="1" customWidth="1"/>
  </cols>
  <sheetData>
    <row r="1" spans="1:4" x14ac:dyDescent="0.4">
      <c r="A1" t="s">
        <v>116</v>
      </c>
      <c r="B1" t="s">
        <v>117</v>
      </c>
      <c r="C1" t="s">
        <v>5</v>
      </c>
      <c r="D1" t="s">
        <v>118</v>
      </c>
    </row>
    <row r="2" spans="1:4" x14ac:dyDescent="0.4">
      <c r="A2" t="s">
        <v>178</v>
      </c>
      <c r="B2" t="s">
        <v>161</v>
      </c>
      <c r="C2">
        <v>2</v>
      </c>
    </row>
    <row r="3" spans="1:4" x14ac:dyDescent="0.4">
      <c r="A3" t="s">
        <v>187</v>
      </c>
      <c r="B3" t="s">
        <v>75</v>
      </c>
      <c r="C3">
        <v>10</v>
      </c>
    </row>
    <row r="4" spans="1:4" x14ac:dyDescent="0.4">
      <c r="A4" t="s">
        <v>179</v>
      </c>
      <c r="B4" t="s">
        <v>162</v>
      </c>
      <c r="C4">
        <v>2</v>
      </c>
    </row>
    <row r="5" spans="1:4" x14ac:dyDescent="0.4">
      <c r="A5" t="s">
        <v>181</v>
      </c>
      <c r="B5" t="s">
        <v>186</v>
      </c>
      <c r="C5">
        <v>8</v>
      </c>
    </row>
    <row r="6" spans="1:4" x14ac:dyDescent="0.4">
      <c r="A6" t="s">
        <v>182</v>
      </c>
      <c r="B6" t="s">
        <v>18</v>
      </c>
      <c r="C6">
        <v>9</v>
      </c>
    </row>
    <row r="7" spans="1:4" x14ac:dyDescent="0.4">
      <c r="A7" t="s">
        <v>43</v>
      </c>
      <c r="B7" t="s">
        <v>44</v>
      </c>
      <c r="C7">
        <v>1</v>
      </c>
    </row>
    <row r="8" spans="1:4" x14ac:dyDescent="0.4">
      <c r="A8" t="s">
        <v>177</v>
      </c>
      <c r="B8" t="s">
        <v>49</v>
      </c>
      <c r="C8">
        <v>3</v>
      </c>
    </row>
    <row r="9" spans="1:4" x14ac:dyDescent="0.4">
      <c r="A9" t="s">
        <v>183</v>
      </c>
      <c r="B9" t="s">
        <v>62</v>
      </c>
      <c r="C9">
        <v>3</v>
      </c>
    </row>
    <row r="10" spans="1:4" x14ac:dyDescent="0.4">
      <c r="A10" t="s">
        <v>66</v>
      </c>
      <c r="B10" t="s">
        <v>67</v>
      </c>
      <c r="C10">
        <v>1</v>
      </c>
    </row>
    <row r="11" spans="1:4" x14ac:dyDescent="0.4">
      <c r="A11" t="s">
        <v>157</v>
      </c>
      <c r="B11" t="s">
        <v>188</v>
      </c>
      <c r="C11">
        <v>1</v>
      </c>
    </row>
    <row r="12" spans="1:4" x14ac:dyDescent="0.4">
      <c r="A12" t="s">
        <v>77</v>
      </c>
      <c r="B12" t="s">
        <v>78</v>
      </c>
      <c r="C12">
        <v>1</v>
      </c>
    </row>
    <row r="13" spans="1:4" x14ac:dyDescent="0.4">
      <c r="A13" t="s">
        <v>119</v>
      </c>
      <c r="B13" t="s">
        <v>72</v>
      </c>
      <c r="C13">
        <v>2</v>
      </c>
    </row>
    <row r="14" spans="1:4" x14ac:dyDescent="0.4">
      <c r="A14" t="s">
        <v>14</v>
      </c>
      <c r="B14" t="s">
        <v>56</v>
      </c>
      <c r="C14">
        <v>1</v>
      </c>
    </row>
    <row r="15" spans="1:4" x14ac:dyDescent="0.4">
      <c r="A15" t="s">
        <v>53</v>
      </c>
      <c r="B15" t="s">
        <v>189</v>
      </c>
      <c r="C15">
        <v>1</v>
      </c>
    </row>
    <row r="16" spans="1:4" x14ac:dyDescent="0.4">
      <c r="A16" t="s">
        <v>93</v>
      </c>
      <c r="B16" t="s">
        <v>97</v>
      </c>
      <c r="C16">
        <v>1</v>
      </c>
    </row>
    <row r="17" spans="1:3" x14ac:dyDescent="0.4">
      <c r="A17" t="s">
        <v>101</v>
      </c>
      <c r="B17" t="s">
        <v>102</v>
      </c>
      <c r="C17">
        <v>1</v>
      </c>
    </row>
    <row r="18" spans="1:3" x14ac:dyDescent="0.4">
      <c r="A18" t="s">
        <v>180</v>
      </c>
      <c r="B18" t="s">
        <v>106</v>
      </c>
      <c r="C18">
        <v>2</v>
      </c>
    </row>
  </sheetData>
  <autoFilter ref="A1:D18" xr:uid="{9E58CA84-A912-44F7-8299-8BBF279F9A09}">
    <sortState ref="A18:D18">
      <sortCondition ref="A1:A18"/>
    </sortState>
  </autoFilter>
  <sortState ref="A2:D3">
    <sortCondition ref="A1"/>
  </sortState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</dc:creator>
  <cp:lastModifiedBy>-</cp:lastModifiedBy>
  <dcterms:created xsi:type="dcterms:W3CDTF">2018-08-06T08:24:34Z</dcterms:created>
  <dcterms:modified xsi:type="dcterms:W3CDTF">2019-11-16T17:51:18Z</dcterms:modified>
</cp:coreProperties>
</file>